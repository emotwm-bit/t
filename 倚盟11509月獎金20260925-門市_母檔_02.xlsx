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eason\OneDrive\桌面\業績\"/>
    </mc:Choice>
  </mc:AlternateContent>
  <xr:revisionPtr revIDLastSave="0" documentId="13_ncr:1_{D521DD53-5F3A-4564-8145-1576E177BBEB}" xr6:coauthVersionLast="47" xr6:coauthVersionMax="47" xr10:uidLastSave="{00000000-0000-0000-0000-000000000000}"/>
  <bookViews>
    <workbookView xWindow="17040" yWindow="2070" windowWidth="2400" windowHeight="585" tabRatio="500" firstSheet="11" activeTab="11" xr2:uid="{00000000-000D-0000-FFFF-FFFF00000000}"/>
  </bookViews>
  <sheets>
    <sheet name="🎯倚盟今日排行" sheetId="1" r:id="rId1"/>
    <sheet name="【你的全部獎金】" sheetId="2" r:id="rId2"/>
    <sheet name="1. 基礎獎金 + 獎金排名" sheetId="3" r:id="rId3"/>
    <sheet name="2. 毛利分潤獎金" sheetId="4" r:id="rId4"/>
    <sheet name="🏆 追星獎" sheetId="5" r:id="rId5"/>
    <sheet name="3. 全壘打得分表" sheetId="6" r:id="rId6"/>
    <sheet name="5. 安打紀錄表" sheetId="7" r:id="rId7"/>
    <sheet name="■我的基礎獎金" sheetId="8" r:id="rId8"/>
    <sheet name="■我的KPI獎金" sheetId="9" r:id="rId9"/>
    <sheet name="■我的AQ獎金" sheetId="10" r:id="rId10"/>
    <sheet name="■我的RT獎金" sheetId="11" r:id="rId11"/>
    <sheet name="■我的大類_重點目標" sheetId="12" r:id="rId12"/>
    <sheet name="📊總部_個人業績累計" sheetId="13" r:id="rId13"/>
    <sheet name="📥總部_每日業績輸入" sheetId="14" r:id="rId14"/>
    <sheet name="數據" sheetId="15" r:id="rId15"/>
  </sheets>
  <definedNames>
    <definedName name="_xlnm._FilterDatabase" localSheetId="1" hidden="1">【你的全部獎金】!$A$5:$X$5</definedName>
    <definedName name="_xlnm._FilterDatabase" localSheetId="9" hidden="1">■我的AQ獎金!$A$2:$S$22</definedName>
    <definedName name="_xlnm._FilterDatabase" localSheetId="10" hidden="1">■我的RT獎金!$A$2:$AD$22</definedName>
    <definedName name="_xlnm._FilterDatabase" localSheetId="2" hidden="1">'1. 基礎獎金 + 獎金排名'!$A$4:$R$4</definedName>
    <definedName name="_xlnm._FilterDatabase" localSheetId="3" hidden="1">'2. 毛利分潤獎金'!$A$3:$Q$35</definedName>
    <definedName name="_xlnm._FilterDatabase" localSheetId="5" hidden="1">'3. 全壘打得分表'!$A$5:$AG$25</definedName>
    <definedName name="_xlnm._FilterDatabase" localSheetId="6" hidden="1">'5. 安打紀錄表'!$A$5:$AF$5</definedName>
    <definedName name="_xlnm._FilterDatabase" localSheetId="14" hidden="1">數據!$A$1:$AL$20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4" i="13" l="1"/>
  <c r="O24" i="13"/>
  <c r="N24" i="13"/>
  <c r="M24" i="13"/>
  <c r="L24" i="13"/>
  <c r="K24" i="13"/>
  <c r="T24" i="13" s="1"/>
  <c r="J24" i="13"/>
  <c r="I24" i="13"/>
  <c r="H24" i="13"/>
  <c r="G24" i="13"/>
  <c r="F24" i="13"/>
  <c r="R24" i="13" s="1"/>
  <c r="E24" i="13"/>
  <c r="D24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M2" i="13"/>
  <c r="J2" i="13"/>
  <c r="G2" i="13"/>
  <c r="AB22" i="11"/>
  <c r="Y22" i="11"/>
  <c r="V22" i="11"/>
  <c r="S22" i="11"/>
  <c r="P22" i="11"/>
  <c r="M22" i="11"/>
  <c r="J22" i="11"/>
  <c r="K22" i="11" s="1"/>
  <c r="G22" i="11"/>
  <c r="H22" i="11" s="1"/>
  <c r="AB21" i="11"/>
  <c r="Y21" i="11"/>
  <c r="V21" i="11"/>
  <c r="S21" i="11"/>
  <c r="P21" i="11"/>
  <c r="M21" i="11"/>
  <c r="J21" i="11"/>
  <c r="K21" i="11" s="1"/>
  <c r="G21" i="11"/>
  <c r="H21" i="11" s="1"/>
  <c r="AB19" i="11"/>
  <c r="Y19" i="11"/>
  <c r="V19" i="11"/>
  <c r="S19" i="11"/>
  <c r="P19" i="11"/>
  <c r="M19" i="11"/>
  <c r="J19" i="11"/>
  <c r="K19" i="11" s="1"/>
  <c r="G19" i="11"/>
  <c r="H19" i="11" s="1"/>
  <c r="AB18" i="11"/>
  <c r="Y18" i="11"/>
  <c r="V18" i="11"/>
  <c r="S18" i="11"/>
  <c r="P18" i="11"/>
  <c r="M18" i="11"/>
  <c r="J18" i="11"/>
  <c r="K18" i="11" s="1"/>
  <c r="G18" i="11"/>
  <c r="H18" i="11" s="1"/>
  <c r="AB17" i="11"/>
  <c r="Y17" i="11"/>
  <c r="V17" i="11"/>
  <c r="S17" i="11"/>
  <c r="P17" i="11"/>
  <c r="M17" i="11"/>
  <c r="J17" i="11"/>
  <c r="K17" i="11" s="1"/>
  <c r="G17" i="11"/>
  <c r="H17" i="11" s="1"/>
  <c r="AB16" i="11"/>
  <c r="Y16" i="11"/>
  <c r="V16" i="11"/>
  <c r="S16" i="11"/>
  <c r="P16" i="11"/>
  <c r="M16" i="11"/>
  <c r="J16" i="11"/>
  <c r="K16" i="11" s="1"/>
  <c r="G16" i="11"/>
  <c r="H16" i="11" s="1"/>
  <c r="AB15" i="11"/>
  <c r="Y15" i="11"/>
  <c r="V15" i="11"/>
  <c r="S15" i="11"/>
  <c r="P15" i="11"/>
  <c r="M15" i="11"/>
  <c r="J15" i="11"/>
  <c r="K15" i="11" s="1"/>
  <c r="G15" i="11"/>
  <c r="H15" i="11" s="1"/>
  <c r="AB14" i="11"/>
  <c r="Y14" i="11"/>
  <c r="V14" i="11"/>
  <c r="S14" i="11"/>
  <c r="P14" i="11"/>
  <c r="M14" i="11"/>
  <c r="J14" i="11"/>
  <c r="K14" i="11" s="1"/>
  <c r="G14" i="11"/>
  <c r="H14" i="11" s="1"/>
  <c r="AB13" i="11"/>
  <c r="Y13" i="11"/>
  <c r="V13" i="11"/>
  <c r="S13" i="11"/>
  <c r="P13" i="11"/>
  <c r="M13" i="11"/>
  <c r="J13" i="11"/>
  <c r="K13" i="11" s="1"/>
  <c r="G13" i="11"/>
  <c r="H13" i="11" s="1"/>
  <c r="AB12" i="11"/>
  <c r="Y12" i="11"/>
  <c r="V12" i="11"/>
  <c r="S12" i="11"/>
  <c r="P12" i="11"/>
  <c r="M12" i="11"/>
  <c r="J12" i="11"/>
  <c r="K12" i="11" s="1"/>
  <c r="G12" i="11"/>
  <c r="H12" i="11" s="1"/>
  <c r="AB11" i="11"/>
  <c r="Y11" i="11"/>
  <c r="V11" i="11"/>
  <c r="S11" i="11"/>
  <c r="P11" i="11"/>
  <c r="M11" i="11"/>
  <c r="J11" i="11"/>
  <c r="K11" i="11" s="1"/>
  <c r="G11" i="11"/>
  <c r="H11" i="11" s="1"/>
  <c r="AB10" i="11"/>
  <c r="Y10" i="11"/>
  <c r="V10" i="11"/>
  <c r="S10" i="11"/>
  <c r="P10" i="11"/>
  <c r="M10" i="11"/>
  <c r="J10" i="11"/>
  <c r="K10" i="11" s="1"/>
  <c r="G10" i="11"/>
  <c r="H10" i="11" s="1"/>
  <c r="AB9" i="11"/>
  <c r="Y9" i="11"/>
  <c r="V9" i="11"/>
  <c r="S9" i="11"/>
  <c r="P9" i="11"/>
  <c r="M9" i="11"/>
  <c r="J9" i="11"/>
  <c r="K9" i="11" s="1"/>
  <c r="G9" i="11"/>
  <c r="H9" i="11" s="1"/>
  <c r="AB8" i="11"/>
  <c r="Y8" i="11"/>
  <c r="V8" i="11"/>
  <c r="S8" i="11"/>
  <c r="P8" i="11"/>
  <c r="M8" i="11"/>
  <c r="J8" i="11"/>
  <c r="K8" i="11" s="1"/>
  <c r="G8" i="11"/>
  <c r="H8" i="11" s="1"/>
  <c r="AB7" i="11"/>
  <c r="Y7" i="11"/>
  <c r="V7" i="11"/>
  <c r="S7" i="11"/>
  <c r="P7" i="11"/>
  <c r="M7" i="11"/>
  <c r="J7" i="11"/>
  <c r="K7" i="11" s="1"/>
  <c r="G7" i="11"/>
  <c r="H7" i="11" s="1"/>
  <c r="AB6" i="11"/>
  <c r="Y6" i="11"/>
  <c r="V6" i="11"/>
  <c r="S6" i="11"/>
  <c r="P6" i="11"/>
  <c r="M6" i="11"/>
  <c r="J6" i="11"/>
  <c r="K6" i="11" s="1"/>
  <c r="G6" i="11"/>
  <c r="H6" i="11" s="1"/>
  <c r="AB5" i="11"/>
  <c r="Y5" i="11"/>
  <c r="V5" i="11"/>
  <c r="S5" i="11"/>
  <c r="P5" i="11"/>
  <c r="M5" i="11"/>
  <c r="J5" i="11"/>
  <c r="K5" i="11" s="1"/>
  <c r="G5" i="11"/>
  <c r="H5" i="11" s="1"/>
  <c r="AB4" i="11"/>
  <c r="Y4" i="11"/>
  <c r="V4" i="11"/>
  <c r="S4" i="11"/>
  <c r="P4" i="11"/>
  <c r="M4" i="11"/>
  <c r="J4" i="11"/>
  <c r="K4" i="11" s="1"/>
  <c r="G4" i="11"/>
  <c r="H4" i="11" s="1"/>
  <c r="AB3" i="11"/>
  <c r="Y3" i="11"/>
  <c r="V3" i="11"/>
  <c r="S3" i="11"/>
  <c r="P3" i="11"/>
  <c r="M3" i="11"/>
  <c r="J3" i="11"/>
  <c r="K3" i="11" s="1"/>
  <c r="G3" i="11"/>
  <c r="H3" i="11" s="1"/>
  <c r="R22" i="10"/>
  <c r="S22" i="10" s="1"/>
  <c r="P22" i="10"/>
  <c r="M22" i="10"/>
  <c r="J22" i="10"/>
  <c r="K22" i="10" s="1"/>
  <c r="G22" i="10"/>
  <c r="H22" i="10" s="1"/>
  <c r="R21" i="10"/>
  <c r="S21" i="10" s="1"/>
  <c r="P21" i="10"/>
  <c r="M21" i="10"/>
  <c r="J21" i="10"/>
  <c r="K21" i="10" s="1"/>
  <c r="G21" i="10"/>
  <c r="H21" i="10" s="1"/>
  <c r="R19" i="10"/>
  <c r="S19" i="10" s="1"/>
  <c r="P19" i="10"/>
  <c r="M19" i="10"/>
  <c r="J19" i="10"/>
  <c r="K19" i="10" s="1"/>
  <c r="G19" i="10"/>
  <c r="H19" i="10" s="1"/>
  <c r="R18" i="10"/>
  <c r="S18" i="10" s="1"/>
  <c r="P18" i="10"/>
  <c r="M18" i="10"/>
  <c r="J18" i="10"/>
  <c r="K18" i="10" s="1"/>
  <c r="G18" i="10"/>
  <c r="H18" i="10" s="1"/>
  <c r="R17" i="10"/>
  <c r="S17" i="10" s="1"/>
  <c r="P17" i="10"/>
  <c r="M17" i="10"/>
  <c r="J17" i="10"/>
  <c r="K17" i="10" s="1"/>
  <c r="G17" i="10"/>
  <c r="H17" i="10" s="1"/>
  <c r="R16" i="10"/>
  <c r="S16" i="10" s="1"/>
  <c r="P16" i="10"/>
  <c r="M16" i="10"/>
  <c r="J16" i="10"/>
  <c r="K16" i="10" s="1"/>
  <c r="G16" i="10"/>
  <c r="H16" i="10" s="1"/>
  <c r="R15" i="10"/>
  <c r="S15" i="10" s="1"/>
  <c r="P15" i="10"/>
  <c r="M15" i="10"/>
  <c r="J15" i="10"/>
  <c r="K15" i="10" s="1"/>
  <c r="G15" i="10"/>
  <c r="H15" i="10" s="1"/>
  <c r="R14" i="10"/>
  <c r="S14" i="10" s="1"/>
  <c r="P14" i="10"/>
  <c r="M14" i="10"/>
  <c r="J14" i="10"/>
  <c r="K14" i="10" s="1"/>
  <c r="G14" i="10"/>
  <c r="H14" i="10" s="1"/>
  <c r="R13" i="10"/>
  <c r="S13" i="10" s="1"/>
  <c r="P13" i="10"/>
  <c r="M13" i="10"/>
  <c r="J13" i="10"/>
  <c r="K13" i="10" s="1"/>
  <c r="G13" i="10"/>
  <c r="H13" i="10" s="1"/>
  <c r="R12" i="10"/>
  <c r="S12" i="10" s="1"/>
  <c r="P12" i="10"/>
  <c r="M12" i="10"/>
  <c r="J12" i="10"/>
  <c r="K12" i="10" s="1"/>
  <c r="G12" i="10"/>
  <c r="H12" i="10" s="1"/>
  <c r="R11" i="10"/>
  <c r="S11" i="10" s="1"/>
  <c r="P11" i="10"/>
  <c r="Q11" i="10" s="1"/>
  <c r="M11" i="10"/>
  <c r="N11" i="10" s="1"/>
  <c r="J11" i="10"/>
  <c r="K11" i="10" s="1"/>
  <c r="B41" i="8" s="1"/>
  <c r="G11" i="10"/>
  <c r="H11" i="10" s="1"/>
  <c r="B17" i="8" s="1"/>
  <c r="R10" i="10"/>
  <c r="S10" i="10" s="1"/>
  <c r="P10" i="10"/>
  <c r="Q10" i="10" s="1"/>
  <c r="M10" i="10"/>
  <c r="N10" i="10" s="1"/>
  <c r="J10" i="10"/>
  <c r="K10" i="10" s="1"/>
  <c r="B40" i="8" s="1"/>
  <c r="G10" i="10"/>
  <c r="H10" i="10" s="1"/>
  <c r="B16" i="8" s="1"/>
  <c r="R9" i="10"/>
  <c r="S9" i="10" s="1"/>
  <c r="P9" i="10"/>
  <c r="Q9" i="10" s="1"/>
  <c r="M9" i="10"/>
  <c r="N9" i="10" s="1"/>
  <c r="J9" i="10"/>
  <c r="K9" i="10" s="1"/>
  <c r="B39" i="8" s="1"/>
  <c r="G9" i="10"/>
  <c r="H9" i="10" s="1"/>
  <c r="B15" i="8" s="1"/>
  <c r="R8" i="10"/>
  <c r="S8" i="10" s="1"/>
  <c r="P8" i="10"/>
  <c r="M8" i="10"/>
  <c r="J8" i="10"/>
  <c r="K8" i="10" s="1"/>
  <c r="G8" i="10"/>
  <c r="H8" i="10" s="1"/>
  <c r="R7" i="10"/>
  <c r="S7" i="10" s="1"/>
  <c r="P7" i="10"/>
  <c r="M7" i="10"/>
  <c r="J7" i="10"/>
  <c r="K7" i="10" s="1"/>
  <c r="G7" i="10"/>
  <c r="H7" i="10" s="1"/>
  <c r="R6" i="10"/>
  <c r="S6" i="10" s="1"/>
  <c r="P6" i="10"/>
  <c r="M6" i="10"/>
  <c r="J6" i="10"/>
  <c r="K6" i="10" s="1"/>
  <c r="G6" i="10"/>
  <c r="H6" i="10" s="1"/>
  <c r="R5" i="10"/>
  <c r="S5" i="10" s="1"/>
  <c r="P5" i="10"/>
  <c r="M5" i="10"/>
  <c r="J5" i="10"/>
  <c r="K5" i="10" s="1"/>
  <c r="G5" i="10"/>
  <c r="H5" i="10" s="1"/>
  <c r="R4" i="10"/>
  <c r="S4" i="10" s="1"/>
  <c r="P4" i="10"/>
  <c r="M4" i="10"/>
  <c r="J4" i="10"/>
  <c r="K4" i="10" s="1"/>
  <c r="G4" i="10"/>
  <c r="H4" i="10" s="1"/>
  <c r="R3" i="10"/>
  <c r="S3" i="10" s="1"/>
  <c r="P3" i="10"/>
  <c r="M3" i="10"/>
  <c r="J3" i="10"/>
  <c r="K3" i="10" s="1"/>
  <c r="G3" i="10"/>
  <c r="H3" i="10" s="1"/>
  <c r="AE22" i="9"/>
  <c r="AA22" i="9"/>
  <c r="Z22" i="9"/>
  <c r="X22" i="9"/>
  <c r="W22" i="9"/>
  <c r="U22" i="9"/>
  <c r="T22" i="9"/>
  <c r="R22" i="9"/>
  <c r="Q22" i="9"/>
  <c r="O22" i="9"/>
  <c r="N22" i="9"/>
  <c r="L22" i="9"/>
  <c r="K22" i="9"/>
  <c r="I22" i="9"/>
  <c r="H22" i="9"/>
  <c r="F22" i="9"/>
  <c r="E22" i="9"/>
  <c r="AE21" i="9"/>
  <c r="AA21" i="9"/>
  <c r="Z21" i="9"/>
  <c r="X21" i="9"/>
  <c r="W21" i="9"/>
  <c r="U21" i="9"/>
  <c r="T21" i="9"/>
  <c r="R21" i="9"/>
  <c r="Q21" i="9"/>
  <c r="O21" i="9"/>
  <c r="N21" i="9"/>
  <c r="L21" i="9"/>
  <c r="K21" i="9"/>
  <c r="I21" i="9"/>
  <c r="H21" i="9"/>
  <c r="F21" i="9"/>
  <c r="E21" i="9"/>
  <c r="AE19" i="9"/>
  <c r="AA19" i="9"/>
  <c r="Z19" i="9"/>
  <c r="X19" i="9"/>
  <c r="W19" i="9"/>
  <c r="U19" i="9"/>
  <c r="T19" i="9"/>
  <c r="R19" i="9"/>
  <c r="Q19" i="9"/>
  <c r="O19" i="9"/>
  <c r="N19" i="9"/>
  <c r="L19" i="9"/>
  <c r="K19" i="9"/>
  <c r="I19" i="9"/>
  <c r="H19" i="9"/>
  <c r="F19" i="9"/>
  <c r="E19" i="9"/>
  <c r="AE18" i="9"/>
  <c r="AA18" i="9"/>
  <c r="Z18" i="9"/>
  <c r="X18" i="9"/>
  <c r="W18" i="9"/>
  <c r="U18" i="9"/>
  <c r="T18" i="9"/>
  <c r="R18" i="9"/>
  <c r="Q18" i="9"/>
  <c r="O18" i="9"/>
  <c r="N18" i="9"/>
  <c r="L18" i="9"/>
  <c r="K18" i="9"/>
  <c r="I18" i="9"/>
  <c r="H18" i="9"/>
  <c r="F18" i="9"/>
  <c r="E18" i="9"/>
  <c r="AE17" i="9"/>
  <c r="AA17" i="9"/>
  <c r="Z17" i="9"/>
  <c r="X17" i="9"/>
  <c r="W17" i="9"/>
  <c r="U17" i="9"/>
  <c r="T17" i="9"/>
  <c r="R17" i="9"/>
  <c r="Q17" i="9"/>
  <c r="O17" i="9"/>
  <c r="N17" i="9"/>
  <c r="L17" i="9"/>
  <c r="K17" i="9"/>
  <c r="I17" i="9"/>
  <c r="H17" i="9"/>
  <c r="F17" i="9"/>
  <c r="E17" i="9"/>
  <c r="AE16" i="9"/>
  <c r="AA16" i="9"/>
  <c r="Z16" i="9"/>
  <c r="X16" i="9"/>
  <c r="W16" i="9"/>
  <c r="U16" i="9"/>
  <c r="T16" i="9"/>
  <c r="R16" i="9"/>
  <c r="Q16" i="9"/>
  <c r="O16" i="9"/>
  <c r="N16" i="9"/>
  <c r="L16" i="9"/>
  <c r="K16" i="9"/>
  <c r="I16" i="9"/>
  <c r="H16" i="9"/>
  <c r="F16" i="9"/>
  <c r="E16" i="9"/>
  <c r="AE15" i="9"/>
  <c r="AA15" i="9"/>
  <c r="Z15" i="9"/>
  <c r="X15" i="9"/>
  <c r="W15" i="9"/>
  <c r="U15" i="9"/>
  <c r="T15" i="9"/>
  <c r="R15" i="9"/>
  <c r="Q15" i="9"/>
  <c r="O15" i="9"/>
  <c r="N15" i="9"/>
  <c r="L15" i="9"/>
  <c r="K15" i="9"/>
  <c r="I15" i="9"/>
  <c r="H15" i="9"/>
  <c r="F15" i="9"/>
  <c r="E15" i="9"/>
  <c r="AE14" i="9"/>
  <c r="AA14" i="9"/>
  <c r="Z14" i="9"/>
  <c r="X14" i="9"/>
  <c r="W14" i="9"/>
  <c r="U14" i="9"/>
  <c r="T14" i="9"/>
  <c r="R14" i="9"/>
  <c r="Q14" i="9"/>
  <c r="O14" i="9"/>
  <c r="N14" i="9"/>
  <c r="L14" i="9"/>
  <c r="K14" i="9"/>
  <c r="I14" i="9"/>
  <c r="H14" i="9"/>
  <c r="F14" i="9"/>
  <c r="E14" i="9"/>
  <c r="AE13" i="9"/>
  <c r="AA13" i="9"/>
  <c r="Z13" i="9"/>
  <c r="X13" i="9"/>
  <c r="W13" i="9"/>
  <c r="U13" i="9"/>
  <c r="T13" i="9"/>
  <c r="R13" i="9"/>
  <c r="Q13" i="9"/>
  <c r="O13" i="9"/>
  <c r="N13" i="9"/>
  <c r="L13" i="9"/>
  <c r="K13" i="9"/>
  <c r="I13" i="9"/>
  <c r="H13" i="9"/>
  <c r="F13" i="9"/>
  <c r="E13" i="9"/>
  <c r="AE12" i="9"/>
  <c r="AA12" i="9"/>
  <c r="Z12" i="9"/>
  <c r="X12" i="9"/>
  <c r="W12" i="9"/>
  <c r="U12" i="9"/>
  <c r="T12" i="9"/>
  <c r="R12" i="9"/>
  <c r="Q12" i="9"/>
  <c r="O12" i="9"/>
  <c r="N12" i="9"/>
  <c r="L12" i="9"/>
  <c r="K12" i="9"/>
  <c r="I12" i="9"/>
  <c r="H12" i="9"/>
  <c r="F12" i="9"/>
  <c r="E12" i="9"/>
  <c r="AE11" i="9"/>
  <c r="AA11" i="9"/>
  <c r="Z11" i="9"/>
  <c r="X11" i="9"/>
  <c r="W11" i="9"/>
  <c r="U11" i="9"/>
  <c r="T11" i="9"/>
  <c r="R11" i="9"/>
  <c r="Q11" i="9"/>
  <c r="O11" i="9"/>
  <c r="N11" i="9"/>
  <c r="L11" i="9"/>
  <c r="K11" i="9"/>
  <c r="I11" i="9"/>
  <c r="H11" i="9"/>
  <c r="F11" i="9"/>
  <c r="E11" i="9"/>
  <c r="AE10" i="9"/>
  <c r="AA10" i="9"/>
  <c r="Z10" i="9"/>
  <c r="X10" i="9"/>
  <c r="W10" i="9"/>
  <c r="U10" i="9"/>
  <c r="T10" i="9"/>
  <c r="R10" i="9"/>
  <c r="Q10" i="9"/>
  <c r="O10" i="9"/>
  <c r="N10" i="9"/>
  <c r="L10" i="9"/>
  <c r="K10" i="9"/>
  <c r="I10" i="9"/>
  <c r="H10" i="9"/>
  <c r="F10" i="9"/>
  <c r="E10" i="9"/>
  <c r="AE9" i="9"/>
  <c r="AA9" i="9"/>
  <c r="Z9" i="9"/>
  <c r="X9" i="9"/>
  <c r="W9" i="9"/>
  <c r="U9" i="9"/>
  <c r="T9" i="9"/>
  <c r="R9" i="9"/>
  <c r="Q9" i="9"/>
  <c r="O9" i="9"/>
  <c r="N9" i="9"/>
  <c r="L9" i="9"/>
  <c r="K9" i="9"/>
  <c r="I9" i="9"/>
  <c r="H9" i="9"/>
  <c r="F9" i="9"/>
  <c r="E9" i="9"/>
  <c r="AE8" i="9"/>
  <c r="AA8" i="9"/>
  <c r="Z8" i="9"/>
  <c r="X8" i="9"/>
  <c r="W8" i="9"/>
  <c r="U8" i="9"/>
  <c r="T8" i="9"/>
  <c r="R8" i="9"/>
  <c r="Q8" i="9"/>
  <c r="O8" i="9"/>
  <c r="N8" i="9"/>
  <c r="L8" i="9"/>
  <c r="K8" i="9"/>
  <c r="I8" i="9"/>
  <c r="H8" i="9"/>
  <c r="F8" i="9"/>
  <c r="E8" i="9"/>
  <c r="AE7" i="9"/>
  <c r="AA7" i="9"/>
  <c r="Z7" i="9"/>
  <c r="X7" i="9"/>
  <c r="W7" i="9"/>
  <c r="U7" i="9"/>
  <c r="T7" i="9"/>
  <c r="R7" i="9"/>
  <c r="Q7" i="9"/>
  <c r="O7" i="9"/>
  <c r="N7" i="9"/>
  <c r="L7" i="9"/>
  <c r="K7" i="9"/>
  <c r="I7" i="9"/>
  <c r="H7" i="9"/>
  <c r="F7" i="9"/>
  <c r="E7" i="9"/>
  <c r="AE6" i="9"/>
  <c r="AA6" i="9"/>
  <c r="Z6" i="9"/>
  <c r="X6" i="9"/>
  <c r="W6" i="9"/>
  <c r="U6" i="9"/>
  <c r="T6" i="9"/>
  <c r="R6" i="9"/>
  <c r="Q6" i="9"/>
  <c r="O6" i="9"/>
  <c r="N6" i="9"/>
  <c r="L6" i="9"/>
  <c r="K6" i="9"/>
  <c r="I6" i="9"/>
  <c r="H6" i="9"/>
  <c r="F6" i="9"/>
  <c r="E6" i="9"/>
  <c r="AE5" i="9"/>
  <c r="AA5" i="9"/>
  <c r="Z5" i="9"/>
  <c r="X5" i="9"/>
  <c r="W5" i="9"/>
  <c r="U5" i="9"/>
  <c r="T5" i="9"/>
  <c r="R5" i="9"/>
  <c r="Q5" i="9"/>
  <c r="O5" i="9"/>
  <c r="N5" i="9"/>
  <c r="L5" i="9"/>
  <c r="K5" i="9"/>
  <c r="I5" i="9"/>
  <c r="H5" i="9"/>
  <c r="F5" i="9"/>
  <c r="E5" i="9"/>
  <c r="AE4" i="9"/>
  <c r="AA4" i="9"/>
  <c r="Z4" i="9"/>
  <c r="X4" i="9"/>
  <c r="W4" i="9"/>
  <c r="U4" i="9"/>
  <c r="T4" i="9"/>
  <c r="R4" i="9"/>
  <c r="Q4" i="9"/>
  <c r="O4" i="9"/>
  <c r="N4" i="9"/>
  <c r="L4" i="9"/>
  <c r="K4" i="9"/>
  <c r="I4" i="9"/>
  <c r="H4" i="9"/>
  <c r="F4" i="9"/>
  <c r="E4" i="9"/>
  <c r="AE3" i="9"/>
  <c r="AA3" i="9"/>
  <c r="Z3" i="9"/>
  <c r="X3" i="9"/>
  <c r="W3" i="9"/>
  <c r="U3" i="9"/>
  <c r="T3" i="9"/>
  <c r="R3" i="9"/>
  <c r="Q3" i="9"/>
  <c r="O3" i="9"/>
  <c r="N3" i="9"/>
  <c r="L3" i="9"/>
  <c r="K3" i="9"/>
  <c r="I3" i="9"/>
  <c r="H3" i="9"/>
  <c r="F3" i="9"/>
  <c r="E3" i="9"/>
  <c r="P24" i="7"/>
  <c r="Q24" i="7" s="1"/>
  <c r="L24" i="7"/>
  <c r="I24" i="7"/>
  <c r="F24" i="7"/>
  <c r="C24" i="7"/>
  <c r="P23" i="7"/>
  <c r="Q23" i="7" s="1"/>
  <c r="L23" i="7"/>
  <c r="I23" i="7"/>
  <c r="F23" i="7"/>
  <c r="C23" i="7"/>
  <c r="P22" i="7"/>
  <c r="Q22" i="7" s="1"/>
  <c r="L22" i="7"/>
  <c r="I22" i="7"/>
  <c r="F22" i="7"/>
  <c r="C22" i="7"/>
  <c r="P21" i="7"/>
  <c r="Q21" i="7" s="1"/>
  <c r="L21" i="7"/>
  <c r="I21" i="7"/>
  <c r="F21" i="7"/>
  <c r="C21" i="7"/>
  <c r="P20" i="7"/>
  <c r="Q20" i="7" s="1"/>
  <c r="L20" i="7"/>
  <c r="I20" i="7"/>
  <c r="F20" i="7"/>
  <c r="C20" i="7"/>
  <c r="P19" i="7"/>
  <c r="Q19" i="7" s="1"/>
  <c r="L19" i="7"/>
  <c r="I19" i="7"/>
  <c r="F19" i="7"/>
  <c r="C19" i="7"/>
  <c r="P18" i="7"/>
  <c r="Q18" i="7" s="1"/>
  <c r="L18" i="7"/>
  <c r="I18" i="7"/>
  <c r="F18" i="7"/>
  <c r="C18" i="7"/>
  <c r="P17" i="7"/>
  <c r="Q17" i="7" s="1"/>
  <c r="L17" i="7"/>
  <c r="I17" i="7"/>
  <c r="F17" i="7"/>
  <c r="C17" i="7"/>
  <c r="P16" i="7"/>
  <c r="Q16" i="7" s="1"/>
  <c r="L16" i="7"/>
  <c r="I16" i="7"/>
  <c r="F16" i="7"/>
  <c r="C16" i="7"/>
  <c r="P15" i="7"/>
  <c r="Q15" i="7" s="1"/>
  <c r="L15" i="7"/>
  <c r="I15" i="7"/>
  <c r="F15" i="7"/>
  <c r="C15" i="7"/>
  <c r="P14" i="7"/>
  <c r="Q14" i="7" s="1"/>
  <c r="L14" i="7"/>
  <c r="I14" i="7"/>
  <c r="F14" i="7"/>
  <c r="C14" i="7"/>
  <c r="P13" i="7"/>
  <c r="Q13" i="7" s="1"/>
  <c r="L13" i="7"/>
  <c r="I13" i="7"/>
  <c r="F13" i="7"/>
  <c r="C13" i="7"/>
  <c r="P12" i="7"/>
  <c r="Q12" i="7" s="1"/>
  <c r="L12" i="7"/>
  <c r="I12" i="7"/>
  <c r="F12" i="7"/>
  <c r="C12" i="7"/>
  <c r="P11" i="7"/>
  <c r="Q11" i="7" s="1"/>
  <c r="L11" i="7"/>
  <c r="I11" i="7"/>
  <c r="F11" i="7"/>
  <c r="C11" i="7"/>
  <c r="P10" i="7"/>
  <c r="Q10" i="7" s="1"/>
  <c r="L10" i="7"/>
  <c r="I10" i="7"/>
  <c r="F10" i="7"/>
  <c r="C10" i="7"/>
  <c r="P9" i="7"/>
  <c r="Q9" i="7" s="1"/>
  <c r="L9" i="7"/>
  <c r="I9" i="7"/>
  <c r="F9" i="7"/>
  <c r="C9" i="7"/>
  <c r="P8" i="7"/>
  <c r="Q8" i="7" s="1"/>
  <c r="L8" i="7"/>
  <c r="I8" i="7"/>
  <c r="F8" i="7"/>
  <c r="C8" i="7"/>
  <c r="P7" i="7"/>
  <c r="Q7" i="7" s="1"/>
  <c r="L7" i="7"/>
  <c r="I7" i="7"/>
  <c r="F7" i="7"/>
  <c r="C7" i="7"/>
  <c r="P6" i="7"/>
  <c r="Q6" i="7" s="1"/>
  <c r="L6" i="7"/>
  <c r="I6" i="7"/>
  <c r="F6" i="7"/>
  <c r="C6" i="7"/>
  <c r="AA25" i="6"/>
  <c r="Z25" i="6"/>
  <c r="X25" i="6"/>
  <c r="W25" i="6"/>
  <c r="U25" i="6"/>
  <c r="T25" i="6"/>
  <c r="R25" i="6"/>
  <c r="Q25" i="6"/>
  <c r="O25" i="6"/>
  <c r="N25" i="6"/>
  <c r="K25" i="6"/>
  <c r="J25" i="6"/>
  <c r="G25" i="6"/>
  <c r="F25" i="6"/>
  <c r="AA24" i="6"/>
  <c r="Z24" i="6"/>
  <c r="X24" i="6"/>
  <c r="W24" i="6"/>
  <c r="U24" i="6"/>
  <c r="T24" i="6"/>
  <c r="R24" i="6"/>
  <c r="Q24" i="6"/>
  <c r="O24" i="6"/>
  <c r="N24" i="6"/>
  <c r="K24" i="6"/>
  <c r="J24" i="6"/>
  <c r="G24" i="6"/>
  <c r="F24" i="6"/>
  <c r="AA22" i="6"/>
  <c r="Z22" i="6"/>
  <c r="X22" i="6"/>
  <c r="W22" i="6"/>
  <c r="U22" i="6"/>
  <c r="T22" i="6"/>
  <c r="R22" i="6"/>
  <c r="Q22" i="6"/>
  <c r="O22" i="6"/>
  <c r="N22" i="6"/>
  <c r="K22" i="6"/>
  <c r="J22" i="6"/>
  <c r="G22" i="6"/>
  <c r="F22" i="6"/>
  <c r="AA21" i="6"/>
  <c r="Z21" i="6"/>
  <c r="X21" i="6"/>
  <c r="W21" i="6"/>
  <c r="U21" i="6"/>
  <c r="T21" i="6"/>
  <c r="R21" i="6"/>
  <c r="Q21" i="6"/>
  <c r="O21" i="6"/>
  <c r="N21" i="6"/>
  <c r="K21" i="6"/>
  <c r="J21" i="6"/>
  <c r="G21" i="6"/>
  <c r="F21" i="6"/>
  <c r="AA20" i="6"/>
  <c r="Z20" i="6"/>
  <c r="X20" i="6"/>
  <c r="W20" i="6"/>
  <c r="U20" i="6"/>
  <c r="T20" i="6"/>
  <c r="R20" i="6"/>
  <c r="Q20" i="6"/>
  <c r="O20" i="6"/>
  <c r="N20" i="6"/>
  <c r="K20" i="6"/>
  <c r="J20" i="6"/>
  <c r="G20" i="6"/>
  <c r="F20" i="6"/>
  <c r="AA19" i="6"/>
  <c r="Z19" i="6"/>
  <c r="X19" i="6"/>
  <c r="W19" i="6"/>
  <c r="U19" i="6"/>
  <c r="T19" i="6"/>
  <c r="R19" i="6"/>
  <c r="Q19" i="6"/>
  <c r="O19" i="6"/>
  <c r="N19" i="6"/>
  <c r="K19" i="6"/>
  <c r="J19" i="6"/>
  <c r="G19" i="6"/>
  <c r="F19" i="6"/>
  <c r="AA18" i="6"/>
  <c r="Z18" i="6"/>
  <c r="X18" i="6"/>
  <c r="W18" i="6"/>
  <c r="U18" i="6"/>
  <c r="T18" i="6"/>
  <c r="R18" i="6"/>
  <c r="Q18" i="6"/>
  <c r="O18" i="6"/>
  <c r="N18" i="6"/>
  <c r="K18" i="6"/>
  <c r="J18" i="6"/>
  <c r="G18" i="6"/>
  <c r="F18" i="6"/>
  <c r="AA17" i="6"/>
  <c r="Z17" i="6"/>
  <c r="X17" i="6"/>
  <c r="W17" i="6"/>
  <c r="U17" i="6"/>
  <c r="T17" i="6"/>
  <c r="R17" i="6"/>
  <c r="Q17" i="6"/>
  <c r="O17" i="6"/>
  <c r="N17" i="6"/>
  <c r="K17" i="6"/>
  <c r="J17" i="6"/>
  <c r="G17" i="6"/>
  <c r="F17" i="6"/>
  <c r="AA16" i="6"/>
  <c r="Z16" i="6"/>
  <c r="X16" i="6"/>
  <c r="W16" i="6"/>
  <c r="U16" i="6"/>
  <c r="T16" i="6"/>
  <c r="R16" i="6"/>
  <c r="Q16" i="6"/>
  <c r="O16" i="6"/>
  <c r="N16" i="6"/>
  <c r="K16" i="6"/>
  <c r="J16" i="6"/>
  <c r="G16" i="6"/>
  <c r="F16" i="6"/>
  <c r="AA15" i="6"/>
  <c r="Z15" i="6"/>
  <c r="X15" i="6"/>
  <c r="W15" i="6"/>
  <c r="U15" i="6"/>
  <c r="T15" i="6"/>
  <c r="R15" i="6"/>
  <c r="Q15" i="6"/>
  <c r="O15" i="6"/>
  <c r="N15" i="6"/>
  <c r="K15" i="6"/>
  <c r="J15" i="6"/>
  <c r="G15" i="6"/>
  <c r="F15" i="6"/>
  <c r="AA14" i="6"/>
  <c r="Z14" i="6"/>
  <c r="X14" i="6"/>
  <c r="W14" i="6"/>
  <c r="U14" i="6"/>
  <c r="T14" i="6"/>
  <c r="R14" i="6"/>
  <c r="Q14" i="6"/>
  <c r="O14" i="6"/>
  <c r="N14" i="6"/>
  <c r="K14" i="6"/>
  <c r="J14" i="6"/>
  <c r="G14" i="6"/>
  <c r="F14" i="6"/>
  <c r="AA13" i="6"/>
  <c r="Z13" i="6"/>
  <c r="X13" i="6"/>
  <c r="W13" i="6"/>
  <c r="U13" i="6"/>
  <c r="T13" i="6"/>
  <c r="R13" i="6"/>
  <c r="Q13" i="6"/>
  <c r="O13" i="6"/>
  <c r="N13" i="6"/>
  <c r="K13" i="6"/>
  <c r="J13" i="6"/>
  <c r="G13" i="6"/>
  <c r="F13" i="6"/>
  <c r="AA12" i="6"/>
  <c r="Z12" i="6"/>
  <c r="X12" i="6"/>
  <c r="W12" i="6"/>
  <c r="U12" i="6"/>
  <c r="T12" i="6"/>
  <c r="R12" i="6"/>
  <c r="Q12" i="6"/>
  <c r="O12" i="6"/>
  <c r="N12" i="6"/>
  <c r="K12" i="6"/>
  <c r="J12" i="6"/>
  <c r="G12" i="6"/>
  <c r="F12" i="6"/>
  <c r="AA11" i="6"/>
  <c r="Z11" i="6"/>
  <c r="X11" i="6"/>
  <c r="W11" i="6"/>
  <c r="U11" i="6"/>
  <c r="T11" i="6"/>
  <c r="R11" i="6"/>
  <c r="Q11" i="6"/>
  <c r="O11" i="6"/>
  <c r="N11" i="6"/>
  <c r="K11" i="6"/>
  <c r="J11" i="6"/>
  <c r="G11" i="6"/>
  <c r="F11" i="6"/>
  <c r="AA10" i="6"/>
  <c r="Z10" i="6"/>
  <c r="X10" i="6"/>
  <c r="W10" i="6"/>
  <c r="U10" i="6"/>
  <c r="T10" i="6"/>
  <c r="R10" i="6"/>
  <c r="Q10" i="6"/>
  <c r="O10" i="6"/>
  <c r="N10" i="6"/>
  <c r="K10" i="6"/>
  <c r="J10" i="6"/>
  <c r="G10" i="6"/>
  <c r="F10" i="6"/>
  <c r="AA9" i="6"/>
  <c r="Z9" i="6"/>
  <c r="X9" i="6"/>
  <c r="W9" i="6"/>
  <c r="U9" i="6"/>
  <c r="T9" i="6"/>
  <c r="R9" i="6"/>
  <c r="Q9" i="6"/>
  <c r="O9" i="6"/>
  <c r="N9" i="6"/>
  <c r="K9" i="6"/>
  <c r="J9" i="6"/>
  <c r="G9" i="6"/>
  <c r="F9" i="6"/>
  <c r="AA8" i="6"/>
  <c r="Z8" i="6"/>
  <c r="X8" i="6"/>
  <c r="W8" i="6"/>
  <c r="U8" i="6"/>
  <c r="T8" i="6"/>
  <c r="R8" i="6"/>
  <c r="Q8" i="6"/>
  <c r="O8" i="6"/>
  <c r="N8" i="6"/>
  <c r="K8" i="6"/>
  <c r="J8" i="6"/>
  <c r="G8" i="6"/>
  <c r="F8" i="6"/>
  <c r="AA7" i="6"/>
  <c r="Z7" i="6"/>
  <c r="X7" i="6"/>
  <c r="W7" i="6"/>
  <c r="U7" i="6"/>
  <c r="T7" i="6"/>
  <c r="R7" i="6"/>
  <c r="Q7" i="6"/>
  <c r="O7" i="6"/>
  <c r="N7" i="6"/>
  <c r="K7" i="6"/>
  <c r="J7" i="6"/>
  <c r="G7" i="6"/>
  <c r="F7" i="6"/>
  <c r="AA6" i="6"/>
  <c r="Z6" i="6"/>
  <c r="X6" i="6"/>
  <c r="W6" i="6"/>
  <c r="U6" i="6"/>
  <c r="T6" i="6"/>
  <c r="R6" i="6"/>
  <c r="Q6" i="6"/>
  <c r="O6" i="6"/>
  <c r="N6" i="6"/>
  <c r="K6" i="6"/>
  <c r="J6" i="6"/>
  <c r="G6" i="6"/>
  <c r="F6" i="6"/>
  <c r="AF4" i="6"/>
  <c r="AF3" i="6"/>
  <c r="G28" i="5"/>
  <c r="F28" i="5"/>
  <c r="E28" i="5"/>
  <c r="F31" i="4"/>
  <c r="E30" i="4"/>
  <c r="F29" i="4"/>
  <c r="F28" i="4"/>
  <c r="F26" i="4"/>
  <c r="F25" i="4"/>
  <c r="E24" i="4"/>
  <c r="F22" i="4"/>
  <c r="F21" i="4"/>
  <c r="F20" i="4"/>
  <c r="F19" i="4"/>
  <c r="E18" i="4"/>
  <c r="F16" i="4"/>
  <c r="F15" i="4"/>
  <c r="F14" i="4"/>
  <c r="E13" i="4"/>
  <c r="F11" i="4"/>
  <c r="F10" i="4"/>
  <c r="F9" i="4"/>
  <c r="E8" i="4"/>
  <c r="F7" i="4"/>
  <c r="F6" i="4"/>
  <c r="F5" i="4"/>
  <c r="F4" i="4"/>
  <c r="C2" i="4"/>
  <c r="D19" i="3"/>
  <c r="C19" i="3"/>
  <c r="B19" i="3"/>
  <c r="D6" i="3"/>
  <c r="C6" i="3"/>
  <c r="B6" i="3"/>
  <c r="D8" i="3"/>
  <c r="C8" i="3"/>
  <c r="B8" i="3"/>
  <c r="D7" i="3"/>
  <c r="C7" i="3"/>
  <c r="B7" i="3"/>
  <c r="D20" i="3"/>
  <c r="C20" i="3"/>
  <c r="B20" i="3"/>
  <c r="D10" i="3"/>
  <c r="C10" i="3"/>
  <c r="B10" i="3"/>
  <c r="D21" i="3"/>
  <c r="C21" i="3"/>
  <c r="B21" i="3"/>
  <c r="D14" i="3"/>
  <c r="C14" i="3"/>
  <c r="B14" i="3"/>
  <c r="D16" i="3"/>
  <c r="C16" i="3"/>
  <c r="B16" i="3"/>
  <c r="D9" i="3"/>
  <c r="C9" i="3"/>
  <c r="B9" i="3"/>
  <c r="D18" i="3"/>
  <c r="C18" i="3"/>
  <c r="B18" i="3"/>
  <c r="D12" i="3"/>
  <c r="C12" i="3"/>
  <c r="B12" i="3"/>
  <c r="D23" i="3"/>
  <c r="C23" i="3"/>
  <c r="B23" i="3"/>
  <c r="D5" i="3"/>
  <c r="C5" i="3"/>
  <c r="B5" i="3"/>
  <c r="D13" i="3"/>
  <c r="C13" i="3"/>
  <c r="B13" i="3"/>
  <c r="D22" i="3"/>
  <c r="C22" i="3"/>
  <c r="B22" i="3"/>
  <c r="D11" i="3"/>
  <c r="C11" i="3"/>
  <c r="B11" i="3"/>
  <c r="D17" i="3"/>
  <c r="C17" i="3"/>
  <c r="B17" i="3"/>
  <c r="D15" i="3"/>
  <c r="C15" i="3"/>
  <c r="B15" i="3"/>
  <c r="M24" i="2"/>
  <c r="M19" i="2"/>
  <c r="M20" i="2"/>
  <c r="M25" i="2"/>
  <c r="M21" i="2"/>
  <c r="M11" i="2"/>
  <c r="M13" i="2"/>
  <c r="M16" i="2"/>
  <c r="M15" i="2"/>
  <c r="M8" i="2"/>
  <c r="M17" i="2"/>
  <c r="M23" i="2"/>
  <c r="M18" i="2"/>
  <c r="M7" i="2"/>
  <c r="M14" i="2"/>
  <c r="M22" i="2"/>
  <c r="M10" i="2"/>
  <c r="M9" i="2"/>
  <c r="M12" i="2"/>
  <c r="K83" i="1"/>
  <c r="I83" i="1"/>
  <c r="J82" i="1"/>
  <c r="M82" i="1" s="1"/>
  <c r="J81" i="1"/>
  <c r="M81" i="1" s="1"/>
  <c r="J80" i="1"/>
  <c r="M80" i="1" s="1"/>
  <c r="J79" i="1"/>
  <c r="M79" i="1" s="1"/>
  <c r="J78" i="1"/>
  <c r="M78" i="1" s="1"/>
  <c r="K74" i="1"/>
  <c r="I74" i="1"/>
  <c r="J73" i="1"/>
  <c r="M73" i="1" s="1"/>
  <c r="J72" i="1"/>
  <c r="M72" i="1" s="1"/>
  <c r="J71" i="1"/>
  <c r="M71" i="1" s="1"/>
  <c r="J70" i="1"/>
  <c r="M70" i="1" s="1"/>
  <c r="J69" i="1"/>
  <c r="M69" i="1" s="1"/>
  <c r="K65" i="1"/>
  <c r="I65" i="1"/>
  <c r="J64" i="1"/>
  <c r="M64" i="1" s="1"/>
  <c r="J63" i="1"/>
  <c r="M63" i="1" s="1"/>
  <c r="J62" i="1"/>
  <c r="M62" i="1" s="1"/>
  <c r="J61" i="1"/>
  <c r="M61" i="1" s="1"/>
  <c r="J60" i="1"/>
  <c r="M60" i="1" s="1"/>
  <c r="K56" i="1"/>
  <c r="I56" i="1"/>
  <c r="J55" i="1"/>
  <c r="M55" i="1" s="1"/>
  <c r="J54" i="1"/>
  <c r="M54" i="1" s="1"/>
  <c r="J53" i="1"/>
  <c r="M53" i="1" s="1"/>
  <c r="J52" i="1"/>
  <c r="M52" i="1" s="1"/>
  <c r="J51" i="1"/>
  <c r="M51" i="1" s="1"/>
  <c r="J46" i="1"/>
  <c r="J45" i="1"/>
  <c r="J44" i="1"/>
  <c r="J43" i="1"/>
  <c r="J42" i="1"/>
  <c r="J37" i="1"/>
  <c r="J36" i="1"/>
  <c r="J35" i="1"/>
  <c r="J34" i="1"/>
  <c r="J33" i="1"/>
  <c r="I28" i="1"/>
  <c r="I27" i="1"/>
  <c r="I26" i="1"/>
  <c r="I25" i="1"/>
  <c r="I24" i="1"/>
  <c r="B24" i="1"/>
  <c r="I14" i="1"/>
  <c r="K10" i="1"/>
  <c r="J10" i="1"/>
  <c r="A10" i="1"/>
  <c r="K9" i="1"/>
  <c r="J9" i="1"/>
  <c r="A9" i="1"/>
  <c r="K8" i="1"/>
  <c r="J8" i="1"/>
  <c r="A8" i="1"/>
  <c r="K7" i="1"/>
  <c r="J7" i="1"/>
  <c r="A7" i="1"/>
  <c r="K6" i="1"/>
  <c r="J6" i="1"/>
  <c r="A6" i="1"/>
  <c r="E2" i="1"/>
  <c r="B2" i="1"/>
  <c r="J54" i="8"/>
  <c r="E54" i="8"/>
  <c r="I53" i="8"/>
  <c r="H53" i="8"/>
  <c r="G53" i="8"/>
  <c r="F53" i="8"/>
  <c r="D53" i="8"/>
  <c r="I52" i="8"/>
  <c r="H52" i="8"/>
  <c r="G52" i="8"/>
  <c r="F52" i="8"/>
  <c r="D52" i="8"/>
  <c r="I51" i="8"/>
  <c r="H51" i="8"/>
  <c r="G51" i="8"/>
  <c r="F51" i="8"/>
  <c r="D51" i="8"/>
  <c r="I49" i="8"/>
  <c r="H49" i="8"/>
  <c r="G49" i="8"/>
  <c r="F49" i="8"/>
  <c r="D49" i="8"/>
  <c r="I48" i="8"/>
  <c r="H48" i="8"/>
  <c r="G48" i="8"/>
  <c r="F48" i="8"/>
  <c r="D48" i="8"/>
  <c r="I47" i="8"/>
  <c r="H47" i="8"/>
  <c r="G47" i="8"/>
  <c r="F47" i="8"/>
  <c r="D47" i="8"/>
  <c r="I46" i="8"/>
  <c r="H46" i="8"/>
  <c r="G46" i="8"/>
  <c r="F46" i="8"/>
  <c r="D46" i="8"/>
  <c r="I45" i="8"/>
  <c r="H45" i="8"/>
  <c r="G45" i="8"/>
  <c r="F45" i="8"/>
  <c r="D45" i="8"/>
  <c r="I44" i="8"/>
  <c r="H44" i="8"/>
  <c r="G44" i="8"/>
  <c r="F44" i="8"/>
  <c r="D44" i="8"/>
  <c r="I43" i="8"/>
  <c r="H43" i="8"/>
  <c r="G43" i="8"/>
  <c r="F43" i="8"/>
  <c r="D43" i="8"/>
  <c r="I42" i="8"/>
  <c r="H42" i="8"/>
  <c r="G42" i="8"/>
  <c r="F42" i="8"/>
  <c r="D42" i="8"/>
  <c r="I41" i="8"/>
  <c r="H41" i="8"/>
  <c r="G41" i="8"/>
  <c r="F41" i="8"/>
  <c r="D41" i="8"/>
  <c r="I40" i="8"/>
  <c r="H40" i="8"/>
  <c r="G40" i="8"/>
  <c r="F40" i="8"/>
  <c r="D40" i="8"/>
  <c r="I39" i="8"/>
  <c r="H39" i="8"/>
  <c r="G39" i="8"/>
  <c r="F39" i="8"/>
  <c r="D39" i="8"/>
  <c r="I38" i="8"/>
  <c r="H38" i="8"/>
  <c r="G38" i="8"/>
  <c r="F38" i="8"/>
  <c r="D38" i="8"/>
  <c r="I37" i="8"/>
  <c r="H37" i="8"/>
  <c r="G37" i="8"/>
  <c r="F37" i="8"/>
  <c r="D37" i="8"/>
  <c r="I36" i="8"/>
  <c r="H36" i="8"/>
  <c r="G36" i="8"/>
  <c r="F36" i="8"/>
  <c r="D36" i="8"/>
  <c r="I35" i="8"/>
  <c r="H35" i="8"/>
  <c r="G35" i="8"/>
  <c r="F35" i="8"/>
  <c r="D35" i="8"/>
  <c r="I34" i="8"/>
  <c r="H34" i="8"/>
  <c r="G34" i="8"/>
  <c r="F34" i="8"/>
  <c r="D34" i="8"/>
  <c r="K34" i="8" s="1"/>
  <c r="J29" i="8"/>
  <c r="H77" i="8" s="1"/>
  <c r="J9" i="2" s="1"/>
  <c r="I29" i="8"/>
  <c r="H29" i="8"/>
  <c r="G29" i="8"/>
  <c r="F29" i="8"/>
  <c r="E29" i="8"/>
  <c r="C77" i="8" s="1"/>
  <c r="E9" i="2" s="1"/>
  <c r="D29" i="8"/>
  <c r="J28" i="8"/>
  <c r="H76" i="8" s="1"/>
  <c r="J21" i="2" s="1"/>
  <c r="I28" i="8"/>
  <c r="H28" i="8"/>
  <c r="G28" i="8"/>
  <c r="F28" i="8"/>
  <c r="E28" i="8"/>
  <c r="C76" i="8" s="1"/>
  <c r="E21" i="2" s="1"/>
  <c r="D28" i="8"/>
  <c r="J27" i="8"/>
  <c r="H75" i="8" s="1"/>
  <c r="J18" i="2" s="1"/>
  <c r="I27" i="8"/>
  <c r="H27" i="8"/>
  <c r="G27" i="8"/>
  <c r="F27" i="8"/>
  <c r="E27" i="8"/>
  <c r="C75" i="8" s="1"/>
  <c r="E18" i="2" s="1"/>
  <c r="D27" i="8"/>
  <c r="J25" i="8"/>
  <c r="H73" i="8" s="1"/>
  <c r="J14" i="2" s="1"/>
  <c r="I25" i="8"/>
  <c r="H25" i="8"/>
  <c r="G25" i="8"/>
  <c r="F25" i="8"/>
  <c r="E25" i="8"/>
  <c r="C73" i="8" s="1"/>
  <c r="E14" i="2" s="1"/>
  <c r="D25" i="8"/>
  <c r="J24" i="8"/>
  <c r="H72" i="8" s="1"/>
  <c r="J10" i="2" s="1"/>
  <c r="I24" i="8"/>
  <c r="H24" i="8"/>
  <c r="G24" i="8"/>
  <c r="F24" i="8"/>
  <c r="E24" i="8"/>
  <c r="C72" i="8" s="1"/>
  <c r="E10" i="2" s="1"/>
  <c r="D24" i="8"/>
  <c r="J23" i="8"/>
  <c r="H71" i="8" s="1"/>
  <c r="J19" i="2" s="1"/>
  <c r="I23" i="8"/>
  <c r="H23" i="8"/>
  <c r="G23" i="8"/>
  <c r="F23" i="8"/>
  <c r="E23" i="8"/>
  <c r="C71" i="8" s="1"/>
  <c r="E19" i="2" s="1"/>
  <c r="D23" i="8"/>
  <c r="J22" i="8"/>
  <c r="H70" i="8" s="1"/>
  <c r="J16" i="2" s="1"/>
  <c r="I22" i="8"/>
  <c r="H22" i="8"/>
  <c r="G22" i="8"/>
  <c r="F22" i="8"/>
  <c r="E22" i="8"/>
  <c r="C70" i="8" s="1"/>
  <c r="E16" i="2" s="1"/>
  <c r="D22" i="8"/>
  <c r="J21" i="8"/>
  <c r="H69" i="8" s="1"/>
  <c r="J23" i="2" s="1"/>
  <c r="I21" i="8"/>
  <c r="H21" i="8"/>
  <c r="G21" i="8"/>
  <c r="F21" i="8"/>
  <c r="E21" i="8"/>
  <c r="C69" i="8" s="1"/>
  <c r="E23" i="2" s="1"/>
  <c r="D21" i="8"/>
  <c r="J20" i="8"/>
  <c r="H68" i="8" s="1"/>
  <c r="J7" i="2" s="1"/>
  <c r="I20" i="8"/>
  <c r="H20" i="8"/>
  <c r="G20" i="8"/>
  <c r="F20" i="8"/>
  <c r="E20" i="8"/>
  <c r="C68" i="8" s="1"/>
  <c r="E7" i="2" s="1"/>
  <c r="D20" i="8"/>
  <c r="J19" i="8"/>
  <c r="H67" i="8" s="1"/>
  <c r="J24" i="2" s="1"/>
  <c r="I19" i="8"/>
  <c r="H19" i="8"/>
  <c r="G19" i="8"/>
  <c r="F19" i="8"/>
  <c r="E19" i="8"/>
  <c r="C67" i="8" s="1"/>
  <c r="E24" i="2" s="1"/>
  <c r="D19" i="8"/>
  <c r="J18" i="8"/>
  <c r="H66" i="8" s="1"/>
  <c r="J11" i="2" s="1"/>
  <c r="I18" i="8"/>
  <c r="H18" i="8"/>
  <c r="G18" i="8"/>
  <c r="F18" i="8"/>
  <c r="E18" i="8"/>
  <c r="C66" i="8" s="1"/>
  <c r="E11" i="2" s="1"/>
  <c r="D18" i="8"/>
  <c r="J17" i="8"/>
  <c r="H65" i="8" s="1"/>
  <c r="J15" i="2" s="1"/>
  <c r="I17" i="8"/>
  <c r="H17" i="8"/>
  <c r="G17" i="8"/>
  <c r="F17" i="8"/>
  <c r="E17" i="8"/>
  <c r="C65" i="8" s="1"/>
  <c r="E15" i="2" s="1"/>
  <c r="D17" i="8"/>
  <c r="J16" i="8"/>
  <c r="H64" i="8" s="1"/>
  <c r="J20" i="2" s="1"/>
  <c r="I16" i="8"/>
  <c r="H16" i="8"/>
  <c r="G16" i="8"/>
  <c r="F16" i="8"/>
  <c r="E16" i="8"/>
  <c r="C64" i="8" s="1"/>
  <c r="E20" i="2" s="1"/>
  <c r="D16" i="8"/>
  <c r="J15" i="8"/>
  <c r="H63" i="8" s="1"/>
  <c r="J8" i="2" s="1"/>
  <c r="I15" i="8"/>
  <c r="H15" i="8"/>
  <c r="G15" i="8"/>
  <c r="F15" i="8"/>
  <c r="E15" i="8"/>
  <c r="C63" i="8" s="1"/>
  <c r="E8" i="2" s="1"/>
  <c r="D15" i="8"/>
  <c r="J14" i="8"/>
  <c r="H62" i="8" s="1"/>
  <c r="J25" i="2" s="1"/>
  <c r="I14" i="8"/>
  <c r="H14" i="8"/>
  <c r="G14" i="8"/>
  <c r="F14" i="8"/>
  <c r="E14" i="8"/>
  <c r="C62" i="8" s="1"/>
  <c r="E25" i="2" s="1"/>
  <c r="D14" i="8"/>
  <c r="J13" i="8"/>
  <c r="H61" i="8" s="1"/>
  <c r="J17" i="2" s="1"/>
  <c r="I13" i="8"/>
  <c r="H13" i="8"/>
  <c r="G13" i="8"/>
  <c r="F13" i="8"/>
  <c r="E13" i="8"/>
  <c r="C61" i="8" s="1"/>
  <c r="E17" i="2" s="1"/>
  <c r="D13" i="8"/>
  <c r="J12" i="8"/>
  <c r="H60" i="8" s="1"/>
  <c r="J22" i="2" s="1"/>
  <c r="I12" i="8"/>
  <c r="H12" i="8"/>
  <c r="G12" i="8"/>
  <c r="F12" i="8"/>
  <c r="E12" i="8"/>
  <c r="C60" i="8" s="1"/>
  <c r="E22" i="2" s="1"/>
  <c r="D12" i="8"/>
  <c r="J11" i="8"/>
  <c r="H59" i="8" s="1"/>
  <c r="J12" i="2" s="1"/>
  <c r="I11" i="8"/>
  <c r="H11" i="8"/>
  <c r="G11" i="8"/>
  <c r="F11" i="8"/>
  <c r="E11" i="8"/>
  <c r="C59" i="8" s="1"/>
  <c r="E12" i="2" s="1"/>
  <c r="D11" i="8"/>
  <c r="J10" i="8"/>
  <c r="I10" i="8"/>
  <c r="H10" i="8"/>
  <c r="G10" i="8"/>
  <c r="F10" i="8"/>
  <c r="E10" i="8"/>
  <c r="D10" i="8"/>
  <c r="R23" i="13" l="1"/>
  <c r="Q24" i="13"/>
  <c r="T21" i="13"/>
  <c r="T10" i="13"/>
  <c r="T23" i="13"/>
  <c r="S23" i="13"/>
  <c r="S24" i="13"/>
  <c r="AB10" i="6"/>
  <c r="M15" i="7"/>
  <c r="J23" i="7"/>
  <c r="K23" i="7" s="1"/>
  <c r="T17" i="13"/>
  <c r="S6" i="13"/>
  <c r="T19" i="13"/>
  <c r="D24" i="7"/>
  <c r="M24" i="7"/>
  <c r="N24" i="7" s="1"/>
  <c r="T8" i="13"/>
  <c r="T20" i="13"/>
  <c r="T7" i="13"/>
  <c r="D73" i="8"/>
  <c r="F14" i="2" s="1"/>
  <c r="T9" i="13"/>
  <c r="S20" i="13"/>
  <c r="F72" i="8"/>
  <c r="H10" i="2" s="1"/>
  <c r="R21" i="13"/>
  <c r="Q23" i="13"/>
  <c r="J15" i="7"/>
  <c r="E9" i="10"/>
  <c r="D9" i="10" s="1"/>
  <c r="E73" i="8"/>
  <c r="G14" i="2" s="1"/>
  <c r="G14" i="7"/>
  <c r="H14" i="7" s="1"/>
  <c r="D22" i="7"/>
  <c r="E22" i="7" s="1"/>
  <c r="M22" i="7"/>
  <c r="N22" i="7" s="1"/>
  <c r="S5" i="13"/>
  <c r="S17" i="13"/>
  <c r="Q17" i="13"/>
  <c r="S18" i="13"/>
  <c r="M13" i="7"/>
  <c r="N13" i="7" s="1"/>
  <c r="E10" i="10"/>
  <c r="D10" i="10" s="1"/>
  <c r="R6" i="13"/>
  <c r="Q7" i="13"/>
  <c r="S8" i="13"/>
  <c r="R18" i="13"/>
  <c r="Q19" i="13"/>
  <c r="F73" i="8"/>
  <c r="H14" i="2" s="1"/>
  <c r="G15" i="7"/>
  <c r="H15" i="7" s="1"/>
  <c r="S10" i="13"/>
  <c r="D16" i="7"/>
  <c r="E16" i="7" s="1"/>
  <c r="J24" i="7"/>
  <c r="K24" i="7" s="1"/>
  <c r="R9" i="13"/>
  <c r="Q10" i="13"/>
  <c r="K29" i="8"/>
  <c r="K35" i="8"/>
  <c r="G72" i="8"/>
  <c r="I10" i="2" s="1"/>
  <c r="G13" i="7"/>
  <c r="T5" i="13"/>
  <c r="R10" i="13"/>
  <c r="K45" i="8"/>
  <c r="D14" i="7"/>
  <c r="E14" i="7" s="1"/>
  <c r="M14" i="7"/>
  <c r="N14" i="7" s="1"/>
  <c r="J22" i="7"/>
  <c r="K22" i="7" s="1"/>
  <c r="E11" i="10"/>
  <c r="D11" i="10" s="1"/>
  <c r="T6" i="13"/>
  <c r="T18" i="13"/>
  <c r="K51" i="8"/>
  <c r="J13" i="7"/>
  <c r="K13" i="7" s="1"/>
  <c r="G73" i="8"/>
  <c r="I14" i="2" s="1"/>
  <c r="R5" i="13"/>
  <c r="Q6" i="13"/>
  <c r="S7" i="13"/>
  <c r="R17" i="13"/>
  <c r="Q18" i="13"/>
  <c r="S19" i="13"/>
  <c r="J14" i="7"/>
  <c r="K14" i="7" s="1"/>
  <c r="G22" i="7"/>
  <c r="H22" i="7" s="1"/>
  <c r="R7" i="13"/>
  <c r="Q8" i="13"/>
  <c r="S9" i="13"/>
  <c r="R19" i="13"/>
  <c r="Q20" i="13"/>
  <c r="S21" i="13"/>
  <c r="R8" i="13"/>
  <c r="Q9" i="13"/>
  <c r="R20" i="13"/>
  <c r="Q21" i="13"/>
  <c r="I19" i="1"/>
  <c r="Q5" i="13"/>
  <c r="K44" i="8"/>
  <c r="K37" i="8"/>
  <c r="E72" i="8"/>
  <c r="G10" i="2" s="1"/>
  <c r="D72" i="8"/>
  <c r="F10" i="2" s="1"/>
  <c r="E24" i="7"/>
  <c r="G71" i="8"/>
  <c r="I19" i="2" s="1"/>
  <c r="F71" i="8"/>
  <c r="H19" i="2" s="1"/>
  <c r="E71" i="8"/>
  <c r="G19" i="2" s="1"/>
  <c r="D71" i="8"/>
  <c r="F19" i="2" s="1"/>
  <c r="D63" i="8"/>
  <c r="F8" i="2" s="1"/>
  <c r="N15" i="7"/>
  <c r="K15" i="7"/>
  <c r="G70" i="8"/>
  <c r="I16" i="2" s="1"/>
  <c r="F70" i="8"/>
  <c r="H16" i="2" s="1"/>
  <c r="E70" i="8"/>
  <c r="G16" i="2" s="1"/>
  <c r="D70" i="8"/>
  <c r="F16" i="2" s="1"/>
  <c r="G69" i="8"/>
  <c r="I23" i="2" s="1"/>
  <c r="F69" i="8"/>
  <c r="H23" i="2" s="1"/>
  <c r="E69" i="8"/>
  <c r="G23" i="2" s="1"/>
  <c r="D69" i="8"/>
  <c r="F23" i="2" s="1"/>
  <c r="G68" i="8"/>
  <c r="I7" i="2" s="1"/>
  <c r="F68" i="8"/>
  <c r="H7" i="2" s="1"/>
  <c r="E68" i="8"/>
  <c r="G7" i="2" s="1"/>
  <c r="D68" i="8"/>
  <c r="F7" i="2" s="1"/>
  <c r="K47" i="8"/>
  <c r="K42" i="8"/>
  <c r="V22" i="9"/>
  <c r="Y22" i="9"/>
  <c r="AB19" i="9"/>
  <c r="Y19" i="9"/>
  <c r="V19" i="9"/>
  <c r="S19" i="9"/>
  <c r="P19" i="9"/>
  <c r="M19" i="9"/>
  <c r="J19" i="9"/>
  <c r="G19" i="9"/>
  <c r="AB18" i="9"/>
  <c r="V18" i="9"/>
  <c r="P18" i="9"/>
  <c r="J18" i="9"/>
  <c r="AB17" i="9"/>
  <c r="V17" i="9"/>
  <c r="P17" i="9"/>
  <c r="J17" i="9"/>
  <c r="AB16" i="9"/>
  <c r="V16" i="9"/>
  <c r="P16" i="9"/>
  <c r="J16" i="9"/>
  <c r="AB15" i="9"/>
  <c r="V15" i="9"/>
  <c r="P15" i="9"/>
  <c r="J15" i="9"/>
  <c r="AB14" i="9"/>
  <c r="V14" i="9"/>
  <c r="P14" i="9"/>
  <c r="J14" i="9"/>
  <c r="AB13" i="9"/>
  <c r="V13" i="9"/>
  <c r="P13" i="9"/>
  <c r="J13" i="9"/>
  <c r="G13" i="9"/>
  <c r="AB12" i="9"/>
  <c r="Y12" i="9"/>
  <c r="V12" i="9"/>
  <c r="S12" i="9"/>
  <c r="P12" i="9"/>
  <c r="M12" i="9"/>
  <c r="J12" i="9"/>
  <c r="G22" i="9"/>
  <c r="S21" i="9"/>
  <c r="AB11" i="9"/>
  <c r="Y11" i="9"/>
  <c r="V11" i="9"/>
  <c r="S11" i="9"/>
  <c r="P11" i="9"/>
  <c r="M11" i="9"/>
  <c r="J11" i="9"/>
  <c r="G11" i="9"/>
  <c r="AB10" i="9"/>
  <c r="Y10" i="9"/>
  <c r="V10" i="9"/>
  <c r="S10" i="9"/>
  <c r="P10" i="9"/>
  <c r="M10" i="9"/>
  <c r="J10" i="9"/>
  <c r="AB9" i="9"/>
  <c r="V9" i="9"/>
  <c r="P9" i="9"/>
  <c r="J9" i="9"/>
  <c r="AB8" i="9"/>
  <c r="V8" i="9"/>
  <c r="P8" i="9"/>
  <c r="J8" i="9"/>
  <c r="AB7" i="9"/>
  <c r="V7" i="9"/>
  <c r="P7" i="9"/>
  <c r="J7" i="9"/>
  <c r="AB6" i="9"/>
  <c r="V6" i="9"/>
  <c r="P6" i="9"/>
  <c r="J6" i="9"/>
  <c r="AB5" i="9"/>
  <c r="V5" i="9"/>
  <c r="P5" i="9"/>
  <c r="J5" i="9"/>
  <c r="AB4" i="9"/>
  <c r="V4" i="9"/>
  <c r="P4" i="9"/>
  <c r="J4" i="9"/>
  <c r="J22" i="9"/>
  <c r="V21" i="9"/>
  <c r="J21" i="9"/>
  <c r="AB3" i="9"/>
  <c r="V3" i="9"/>
  <c r="P3" i="9"/>
  <c r="J3" i="9"/>
  <c r="H13" i="7"/>
  <c r="AB22" i="9"/>
  <c r="P22" i="9"/>
  <c r="S22" i="9"/>
  <c r="P21" i="9"/>
  <c r="K39" i="8"/>
  <c r="G67" i="8"/>
  <c r="I24" i="2" s="1"/>
  <c r="F67" i="8"/>
  <c r="H24" i="2" s="1"/>
  <c r="E67" i="8"/>
  <c r="G24" i="2" s="1"/>
  <c r="D67" i="8"/>
  <c r="F24" i="2" s="1"/>
  <c r="G66" i="8"/>
  <c r="I11" i="2" s="1"/>
  <c r="F66" i="8"/>
  <c r="H11" i="2" s="1"/>
  <c r="E66" i="8"/>
  <c r="G11" i="2" s="1"/>
  <c r="D66" i="8"/>
  <c r="F11" i="2" s="1"/>
  <c r="G65" i="8"/>
  <c r="I15" i="2" s="1"/>
  <c r="F65" i="8"/>
  <c r="H15" i="2" s="1"/>
  <c r="E65" i="8"/>
  <c r="G15" i="2" s="1"/>
  <c r="D65" i="8"/>
  <c r="F15" i="2" s="1"/>
  <c r="G64" i="8"/>
  <c r="I20" i="2" s="1"/>
  <c r="F64" i="8"/>
  <c r="H20" i="2" s="1"/>
  <c r="E64" i="8"/>
  <c r="G20" i="2" s="1"/>
  <c r="D64" i="8"/>
  <c r="F20" i="2" s="1"/>
  <c r="G63" i="8"/>
  <c r="I8" i="2" s="1"/>
  <c r="F63" i="8"/>
  <c r="H8" i="2" s="1"/>
  <c r="E63" i="8"/>
  <c r="G8" i="2" s="1"/>
  <c r="G62" i="8"/>
  <c r="I25" i="2" s="1"/>
  <c r="F62" i="8"/>
  <c r="H25" i="2" s="1"/>
  <c r="E62" i="8"/>
  <c r="G25" i="2" s="1"/>
  <c r="D62" i="8"/>
  <c r="F25" i="2" s="1"/>
  <c r="G61" i="8"/>
  <c r="I17" i="2" s="1"/>
  <c r="F61" i="8"/>
  <c r="H17" i="2" s="1"/>
  <c r="E61" i="8"/>
  <c r="G17" i="2" s="1"/>
  <c r="D61" i="8"/>
  <c r="F17" i="2" s="1"/>
  <c r="G60" i="8"/>
  <c r="I22" i="2" s="1"/>
  <c r="F60" i="8"/>
  <c r="H22" i="2" s="1"/>
  <c r="E60" i="8"/>
  <c r="G22" i="2" s="1"/>
  <c r="D60" i="8"/>
  <c r="F22" i="2" s="1"/>
  <c r="G59" i="8"/>
  <c r="I12" i="2" s="1"/>
  <c r="F59" i="8"/>
  <c r="H12" i="2" s="1"/>
  <c r="E59" i="8"/>
  <c r="G12" i="2" s="1"/>
  <c r="D59" i="8"/>
  <c r="F12" i="2" s="1"/>
  <c r="AB21" i="9"/>
  <c r="M22" i="9"/>
  <c r="G24" i="7"/>
  <c r="H24" i="7" s="1"/>
  <c r="Y21" i="9"/>
  <c r="M23" i="7"/>
  <c r="N23" i="7" s="1"/>
  <c r="M21" i="9"/>
  <c r="G23" i="7"/>
  <c r="H23" i="7" s="1"/>
  <c r="G21" i="9"/>
  <c r="D23" i="7"/>
  <c r="E23" i="7" s="1"/>
  <c r="G12" i="9"/>
  <c r="D15" i="7"/>
  <c r="E15" i="7" s="1"/>
  <c r="K43" i="8"/>
  <c r="K40" i="8"/>
  <c r="K46" i="8"/>
  <c r="K36" i="8"/>
  <c r="K28" i="8"/>
  <c r="M27" i="2"/>
  <c r="G77" i="8"/>
  <c r="I9" i="2" s="1"/>
  <c r="D75" i="8"/>
  <c r="F18" i="2" s="1"/>
  <c r="G76" i="8"/>
  <c r="I21" i="2" s="1"/>
  <c r="G75" i="8"/>
  <c r="I18" i="2" s="1"/>
  <c r="D77" i="8"/>
  <c r="F9" i="2" s="1"/>
  <c r="H14" i="3" s="1"/>
  <c r="H54" i="8"/>
  <c r="F77" i="8"/>
  <c r="H9" i="2" s="1"/>
  <c r="S11" i="13"/>
  <c r="R11" i="13"/>
  <c r="E76" i="8"/>
  <c r="G21" i="2" s="1"/>
  <c r="F54" i="8"/>
  <c r="Q11" i="13"/>
  <c r="F75" i="8"/>
  <c r="H18" i="2" s="1"/>
  <c r="F76" i="8"/>
  <c r="H21" i="2" s="1"/>
  <c r="E75" i="8"/>
  <c r="G18" i="2" s="1"/>
  <c r="E77" i="8"/>
  <c r="G9" i="2" s="1"/>
  <c r="I54" i="8"/>
  <c r="D76" i="8"/>
  <c r="F21" i="2" s="1"/>
  <c r="G54" i="8"/>
  <c r="K48" i="8"/>
  <c r="K41" i="8"/>
  <c r="K38" i="8"/>
  <c r="V17" i="6"/>
  <c r="L16" i="6"/>
  <c r="M16" i="6" s="1"/>
  <c r="P15" i="6"/>
  <c r="S14" i="6"/>
  <c r="P13" i="6"/>
  <c r="L12" i="6"/>
  <c r="M12" i="6" s="1"/>
  <c r="H7" i="6"/>
  <c r="I7" i="6" s="1"/>
  <c r="G16" i="4"/>
  <c r="H16" i="4" s="1"/>
  <c r="G7" i="4"/>
  <c r="H7" i="4" s="1"/>
  <c r="V16" i="6"/>
  <c r="L15" i="6"/>
  <c r="M15" i="6" s="1"/>
  <c r="H14" i="6"/>
  <c r="I14" i="6" s="1"/>
  <c r="Y12" i="6"/>
  <c r="S11" i="6"/>
  <c r="S7" i="6"/>
  <c r="L6" i="6"/>
  <c r="M6" i="6" s="1"/>
  <c r="G21" i="4"/>
  <c r="H21" i="4" s="1"/>
  <c r="Y25" i="6"/>
  <c r="AB24" i="6"/>
  <c r="V24" i="6"/>
  <c r="L24" i="6"/>
  <c r="M24" i="6" s="1"/>
  <c r="P22" i="6"/>
  <c r="Y21" i="6"/>
  <c r="H21" i="6"/>
  <c r="I21" i="6" s="1"/>
  <c r="P20" i="6"/>
  <c r="V19" i="6"/>
  <c r="Y18" i="6"/>
  <c r="H18" i="6"/>
  <c r="I18" i="6" s="1"/>
  <c r="AB16" i="6"/>
  <c r="AB15" i="6"/>
  <c r="AB14" i="6"/>
  <c r="L14" i="6"/>
  <c r="M14" i="6" s="1"/>
  <c r="S12" i="6"/>
  <c r="Y11" i="6"/>
  <c r="H11" i="6"/>
  <c r="I11" i="6" s="1"/>
  <c r="AB6" i="6"/>
  <c r="G31" i="4"/>
  <c r="H31" i="4" s="1"/>
  <c r="AB25" i="6"/>
  <c r="L25" i="6"/>
  <c r="M25" i="6" s="1"/>
  <c r="P24" i="6"/>
  <c r="Y22" i="6"/>
  <c r="H22" i="6"/>
  <c r="I22" i="6" s="1"/>
  <c r="L21" i="6"/>
  <c r="M21" i="6" s="1"/>
  <c r="V20" i="6"/>
  <c r="AB19" i="6"/>
  <c r="P19" i="6"/>
  <c r="V18" i="6"/>
  <c r="L18" i="6"/>
  <c r="M18" i="6" s="1"/>
  <c r="P17" i="6"/>
  <c r="S16" i="6"/>
  <c r="V15" i="6"/>
  <c r="Y14" i="6"/>
  <c r="V13" i="6"/>
  <c r="V12" i="6"/>
  <c r="L11" i="6"/>
  <c r="M11" i="6" s="1"/>
  <c r="L7" i="6"/>
  <c r="M7" i="6" s="1"/>
  <c r="S6" i="6"/>
  <c r="G26" i="4"/>
  <c r="H26" i="4" s="1"/>
  <c r="G5" i="4"/>
  <c r="H5" i="4" s="1"/>
  <c r="V25" i="6"/>
  <c r="H25" i="6"/>
  <c r="I25" i="6" s="1"/>
  <c r="H24" i="6"/>
  <c r="I24" i="6" s="1"/>
  <c r="S22" i="6"/>
  <c r="V21" i="6"/>
  <c r="AB20" i="6"/>
  <c r="L20" i="6"/>
  <c r="M20" i="6" s="1"/>
  <c r="S19" i="6"/>
  <c r="H19" i="6"/>
  <c r="I19" i="6" s="1"/>
  <c r="P18" i="6"/>
  <c r="S17" i="6"/>
  <c r="Y16" i="6"/>
  <c r="Y15" i="6"/>
  <c r="H15" i="6"/>
  <c r="I15" i="6" s="1"/>
  <c r="Y13" i="6"/>
  <c r="H13" i="6"/>
  <c r="I13" i="6" s="1"/>
  <c r="H12" i="6"/>
  <c r="I12" i="6" s="1"/>
  <c r="Y10" i="6"/>
  <c r="P6" i="6"/>
  <c r="G29" i="4"/>
  <c r="H29" i="4" s="1"/>
  <c r="G6" i="4"/>
  <c r="H6" i="4" s="1"/>
  <c r="P25" i="6"/>
  <c r="AB22" i="6"/>
  <c r="L22" i="6"/>
  <c r="M22" i="6" s="1"/>
  <c r="S21" i="6"/>
  <c r="S20" i="6"/>
  <c r="Y19" i="6"/>
  <c r="L19" i="6"/>
  <c r="M19" i="6" s="1"/>
  <c r="S18" i="6"/>
  <c r="Y17" i="6"/>
  <c r="L17" i="6"/>
  <c r="M17" i="6" s="1"/>
  <c r="P16" i="6"/>
  <c r="S15" i="6"/>
  <c r="V14" i="6"/>
  <c r="AB13" i="6"/>
  <c r="L13" i="6"/>
  <c r="M13" i="6" s="1"/>
  <c r="AB11" i="6"/>
  <c r="P11" i="6"/>
  <c r="V6" i="6"/>
  <c r="G20" i="4"/>
  <c r="H20" i="4" s="1"/>
  <c r="G10" i="4"/>
  <c r="H10" i="4" s="1"/>
  <c r="S25" i="6"/>
  <c r="Y24" i="6"/>
  <c r="S24" i="6"/>
  <c r="V22" i="6"/>
  <c r="AB21" i="6"/>
  <c r="P21" i="6"/>
  <c r="Y20" i="6"/>
  <c r="H20" i="6"/>
  <c r="I20" i="6" s="1"/>
  <c r="AB18" i="6"/>
  <c r="AB17" i="6"/>
  <c r="H17" i="6"/>
  <c r="I17" i="6" s="1"/>
  <c r="H16" i="6"/>
  <c r="I16" i="6" s="1"/>
  <c r="P14" i="6"/>
  <c r="S13" i="6"/>
  <c r="P12" i="6"/>
  <c r="V11" i="6"/>
  <c r="P7" i="6"/>
  <c r="G11" i="4"/>
  <c r="H11" i="4" s="1"/>
  <c r="AB12" i="6"/>
  <c r="Y6" i="6"/>
  <c r="G22" i="4"/>
  <c r="H22" i="4" s="1"/>
  <c r="V10" i="6"/>
  <c r="S10" i="6"/>
  <c r="P10" i="6"/>
  <c r="L10" i="6"/>
  <c r="M10" i="6" s="1"/>
  <c r="H10" i="6"/>
  <c r="I10" i="6" s="1"/>
  <c r="AB9" i="6"/>
  <c r="Y9" i="6"/>
  <c r="V9" i="6"/>
  <c r="S9" i="6"/>
  <c r="P9" i="6"/>
  <c r="L9" i="6"/>
  <c r="M9" i="6" s="1"/>
  <c r="H9" i="6"/>
  <c r="I9" i="6" s="1"/>
  <c r="AB8" i="6"/>
  <c r="Y8" i="6"/>
  <c r="V8" i="6"/>
  <c r="S8" i="6"/>
  <c r="P8" i="6"/>
  <c r="L8" i="6"/>
  <c r="M8" i="6" s="1"/>
  <c r="H8" i="6"/>
  <c r="I8" i="6" s="1"/>
  <c r="AB7" i="6"/>
  <c r="Y7" i="6"/>
  <c r="V7" i="6"/>
  <c r="H6" i="6"/>
  <c r="I6" i="6" s="1"/>
  <c r="G28" i="4"/>
  <c r="H28" i="4" s="1"/>
  <c r="G15" i="4"/>
  <c r="H15" i="4" s="1"/>
  <c r="W11" i="13"/>
  <c r="V11" i="13"/>
  <c r="U11" i="13"/>
  <c r="T16" i="13"/>
  <c r="X16" i="13"/>
  <c r="R16" i="13"/>
  <c r="V16" i="13"/>
  <c r="Q16" i="13"/>
  <c r="U16" i="13"/>
  <c r="S16" i="13"/>
  <c r="W16" i="13"/>
  <c r="T15" i="13"/>
  <c r="X15" i="13"/>
  <c r="R15" i="13"/>
  <c r="V15" i="13"/>
  <c r="Q15" i="13"/>
  <c r="U15" i="13"/>
  <c r="S15" i="13"/>
  <c r="W15" i="13"/>
  <c r="X14" i="13"/>
  <c r="T14" i="13"/>
  <c r="R14" i="13"/>
  <c r="V14" i="13"/>
  <c r="Q14" i="13"/>
  <c r="U14" i="13"/>
  <c r="W14" i="13"/>
  <c r="S14" i="13"/>
  <c r="X13" i="13"/>
  <c r="T13" i="13"/>
  <c r="R13" i="13"/>
  <c r="V13" i="13"/>
  <c r="U13" i="13"/>
  <c r="Q13" i="13"/>
  <c r="S13" i="13"/>
  <c r="W13" i="13"/>
  <c r="X12" i="13"/>
  <c r="T12" i="13"/>
  <c r="V12" i="13"/>
  <c r="R12" i="13"/>
  <c r="Q12" i="13"/>
  <c r="U12" i="13"/>
  <c r="S12" i="13"/>
  <c r="W12" i="13"/>
  <c r="X11" i="13"/>
  <c r="T11" i="13"/>
  <c r="V23" i="13"/>
  <c r="U23" i="13"/>
  <c r="X21" i="13"/>
  <c r="W18" i="13"/>
  <c r="X8" i="13"/>
  <c r="W24" i="13"/>
  <c r="V8" i="13"/>
  <c r="U8" i="13"/>
  <c r="X7" i="13"/>
  <c r="W7" i="13"/>
  <c r="V7" i="13"/>
  <c r="U7" i="13"/>
  <c r="W8" i="13"/>
  <c r="X6" i="13"/>
  <c r="W6" i="13"/>
  <c r="V6" i="13"/>
  <c r="U6" i="13"/>
  <c r="X5" i="13"/>
  <c r="W5" i="13"/>
  <c r="V5" i="13"/>
  <c r="U5" i="13"/>
  <c r="V19" i="13"/>
  <c r="U9" i="13"/>
  <c r="V9" i="13"/>
  <c r="W9" i="13"/>
  <c r="X9" i="13"/>
  <c r="V24" i="13"/>
  <c r="U24" i="13"/>
  <c r="X24" i="13"/>
  <c r="U10" i="13"/>
  <c r="V10" i="13"/>
  <c r="W10" i="13"/>
  <c r="X10" i="13"/>
  <c r="U17" i="13"/>
  <c r="V17" i="13"/>
  <c r="X23" i="13"/>
  <c r="W17" i="13"/>
  <c r="X17" i="13"/>
  <c r="U18" i="13"/>
  <c r="V18" i="13"/>
  <c r="W23" i="13"/>
  <c r="X18" i="13"/>
  <c r="U19" i="13"/>
  <c r="W19" i="13"/>
  <c r="X19" i="13"/>
  <c r="U20" i="13"/>
  <c r="V20" i="13"/>
  <c r="W20" i="13"/>
  <c r="X20" i="13"/>
  <c r="U21" i="13"/>
  <c r="V21" i="13"/>
  <c r="W21" i="13"/>
  <c r="Q22" i="11"/>
  <c r="W22" i="11"/>
  <c r="AC22" i="11"/>
  <c r="C52" i="8"/>
  <c r="N22" i="11"/>
  <c r="T22" i="11"/>
  <c r="Z22" i="11"/>
  <c r="C28" i="8"/>
  <c r="Q21" i="11"/>
  <c r="W21" i="11"/>
  <c r="AC21" i="11"/>
  <c r="C51" i="8"/>
  <c r="N21" i="11"/>
  <c r="T21" i="11"/>
  <c r="Z21" i="11"/>
  <c r="C27" i="8"/>
  <c r="Q19" i="11"/>
  <c r="W19" i="11"/>
  <c r="AC19" i="11"/>
  <c r="C49" i="8"/>
  <c r="N19" i="11"/>
  <c r="T19" i="11"/>
  <c r="Z19" i="11"/>
  <c r="C25" i="8"/>
  <c r="Q18" i="11"/>
  <c r="W18" i="11"/>
  <c r="AC18" i="11"/>
  <c r="C48" i="8"/>
  <c r="N18" i="11"/>
  <c r="T18" i="11"/>
  <c r="Z18" i="11"/>
  <c r="C24" i="8"/>
  <c r="Q17" i="11"/>
  <c r="W17" i="11"/>
  <c r="AC17" i="11"/>
  <c r="C47" i="8"/>
  <c r="N17" i="11"/>
  <c r="T17" i="11"/>
  <c r="Z17" i="11"/>
  <c r="C23" i="8"/>
  <c r="Q16" i="11"/>
  <c r="C46" i="8"/>
  <c r="W16" i="11"/>
  <c r="AC16" i="11"/>
  <c r="N16" i="11"/>
  <c r="T16" i="11"/>
  <c r="Z16" i="11"/>
  <c r="C22" i="8"/>
  <c r="C45" i="8"/>
  <c r="AC15" i="11"/>
  <c r="Q15" i="11"/>
  <c r="W15" i="11"/>
  <c r="Z15" i="11"/>
  <c r="C21" i="8"/>
  <c r="N15" i="11"/>
  <c r="T15" i="11"/>
  <c r="W14" i="11"/>
  <c r="Q14" i="11"/>
  <c r="AC14" i="11"/>
  <c r="C44" i="8"/>
  <c r="Z14" i="11"/>
  <c r="C20" i="8"/>
  <c r="T14" i="11"/>
  <c r="N14" i="11"/>
  <c r="AC13" i="11"/>
  <c r="W13" i="11"/>
  <c r="C43" i="8"/>
  <c r="Q13" i="11"/>
  <c r="T13" i="11"/>
  <c r="C19" i="8"/>
  <c r="N13" i="11"/>
  <c r="Z13" i="11"/>
  <c r="Q12" i="11"/>
  <c r="W12" i="11"/>
  <c r="AC12" i="11"/>
  <c r="C42" i="8"/>
  <c r="N12" i="11"/>
  <c r="T12" i="11"/>
  <c r="Z12" i="11"/>
  <c r="C18" i="8"/>
  <c r="Q11" i="11"/>
  <c r="W11" i="11"/>
  <c r="AC11" i="11"/>
  <c r="C41" i="8"/>
  <c r="N11" i="11"/>
  <c r="T11" i="11"/>
  <c r="Z11" i="11"/>
  <c r="C17" i="8"/>
  <c r="Q10" i="11"/>
  <c r="W10" i="11"/>
  <c r="AC10" i="11"/>
  <c r="C40" i="8"/>
  <c r="N10" i="11"/>
  <c r="T10" i="11"/>
  <c r="Z10" i="11"/>
  <c r="C16" i="8"/>
  <c r="Q9" i="11"/>
  <c r="W9" i="11"/>
  <c r="AC9" i="11"/>
  <c r="C39" i="8"/>
  <c r="N9" i="11"/>
  <c r="T9" i="11"/>
  <c r="Z9" i="11"/>
  <c r="C15" i="8"/>
  <c r="Q8" i="11"/>
  <c r="W8" i="11"/>
  <c r="AC8" i="11"/>
  <c r="C38" i="8"/>
  <c r="N8" i="11"/>
  <c r="T8" i="11"/>
  <c r="Z8" i="11"/>
  <c r="C14" i="8"/>
  <c r="Q7" i="11"/>
  <c r="W7" i="11"/>
  <c r="AC7" i="11"/>
  <c r="C53" i="8"/>
  <c r="N7" i="11"/>
  <c r="T7" i="11"/>
  <c r="Z7" i="11"/>
  <c r="C29" i="8"/>
  <c r="Q6" i="11"/>
  <c r="W6" i="11"/>
  <c r="AC6" i="11"/>
  <c r="C37" i="8"/>
  <c r="N6" i="11"/>
  <c r="T6" i="11"/>
  <c r="Z6" i="11"/>
  <c r="C13" i="8"/>
  <c r="Q5" i="11"/>
  <c r="W5" i="11"/>
  <c r="AC5" i="11"/>
  <c r="C36" i="8"/>
  <c r="N5" i="11"/>
  <c r="T5" i="11"/>
  <c r="Z5" i="11"/>
  <c r="C12" i="8"/>
  <c r="Q4" i="11"/>
  <c r="W4" i="11"/>
  <c r="AC4" i="11"/>
  <c r="C35" i="8"/>
  <c r="N4" i="11"/>
  <c r="T4" i="11"/>
  <c r="Z4" i="11"/>
  <c r="C11" i="8"/>
  <c r="Q3" i="11"/>
  <c r="W3" i="11"/>
  <c r="AC3" i="11"/>
  <c r="C34" i="8"/>
  <c r="N3" i="11"/>
  <c r="T3" i="11"/>
  <c r="Z3" i="11"/>
  <c r="C10" i="8"/>
  <c r="Q22" i="10"/>
  <c r="B52" i="8"/>
  <c r="N22" i="10"/>
  <c r="B28" i="8"/>
  <c r="Q21" i="10"/>
  <c r="B51" i="8"/>
  <c r="N21" i="10"/>
  <c r="B27" i="8"/>
  <c r="Q19" i="10"/>
  <c r="B49" i="8"/>
  <c r="N19" i="10"/>
  <c r="B25" i="8"/>
  <c r="Q18" i="10"/>
  <c r="B48" i="8"/>
  <c r="N18" i="10"/>
  <c r="B24" i="8"/>
  <c r="Q17" i="10"/>
  <c r="B47" i="8"/>
  <c r="N17" i="10"/>
  <c r="B23" i="8"/>
  <c r="Q16" i="10"/>
  <c r="B46" i="8"/>
  <c r="N16" i="10"/>
  <c r="B22" i="8"/>
  <c r="Q15" i="10"/>
  <c r="B45" i="8"/>
  <c r="N15" i="10"/>
  <c r="B21" i="8"/>
  <c r="Q14" i="10"/>
  <c r="B44" i="8"/>
  <c r="N14" i="10"/>
  <c r="B20" i="8"/>
  <c r="Q13" i="10"/>
  <c r="B43" i="8"/>
  <c r="N13" i="10"/>
  <c r="B19" i="8"/>
  <c r="Q12" i="10"/>
  <c r="B42" i="8"/>
  <c r="N12" i="10"/>
  <c r="B18" i="8"/>
  <c r="Q8" i="10"/>
  <c r="B38" i="8"/>
  <c r="N8" i="10"/>
  <c r="B14" i="8"/>
  <c r="Q7" i="10"/>
  <c r="B53" i="8"/>
  <c r="N7" i="10"/>
  <c r="B29" i="8"/>
  <c r="Q6" i="10"/>
  <c r="B37" i="8"/>
  <c r="N6" i="10"/>
  <c r="B13" i="8"/>
  <c r="Q5" i="10"/>
  <c r="B36" i="8"/>
  <c r="N5" i="10"/>
  <c r="B12" i="8"/>
  <c r="Q4" i="10"/>
  <c r="B35" i="8"/>
  <c r="N4" i="10"/>
  <c r="B11" i="8"/>
  <c r="Q3" i="10"/>
  <c r="B34" i="8"/>
  <c r="N3" i="10"/>
  <c r="B10" i="8"/>
  <c r="Y18" i="9"/>
  <c r="M21" i="7"/>
  <c r="N21" i="7" s="1"/>
  <c r="S18" i="9"/>
  <c r="J21" i="7"/>
  <c r="K21" i="7" s="1"/>
  <c r="M18" i="9"/>
  <c r="G21" i="7"/>
  <c r="H21" i="7" s="1"/>
  <c r="G18" i="9"/>
  <c r="D21" i="7"/>
  <c r="E21" i="7" s="1"/>
  <c r="Y17" i="9"/>
  <c r="M20" i="7"/>
  <c r="N20" i="7" s="1"/>
  <c r="J20" i="7"/>
  <c r="K20" i="7" s="1"/>
  <c r="S17" i="9"/>
  <c r="G20" i="7"/>
  <c r="H20" i="7" s="1"/>
  <c r="M17" i="9"/>
  <c r="D20" i="7"/>
  <c r="E20" i="7" s="1"/>
  <c r="G17" i="9"/>
  <c r="M19" i="7"/>
  <c r="N19" i="7" s="1"/>
  <c r="Y16" i="9"/>
  <c r="J19" i="7"/>
  <c r="K19" i="7" s="1"/>
  <c r="S16" i="9"/>
  <c r="G19" i="7"/>
  <c r="H19" i="7" s="1"/>
  <c r="M16" i="9"/>
  <c r="G16" i="9"/>
  <c r="D19" i="7"/>
  <c r="E19" i="7" s="1"/>
  <c r="Y15" i="9"/>
  <c r="M18" i="7"/>
  <c r="N18" i="7" s="1"/>
  <c r="S15" i="9"/>
  <c r="J18" i="7"/>
  <c r="K18" i="7" s="1"/>
  <c r="G18" i="7"/>
  <c r="H18" i="7" s="1"/>
  <c r="M15" i="9"/>
  <c r="G15" i="9"/>
  <c r="D18" i="7"/>
  <c r="E18" i="7" s="1"/>
  <c r="Y14" i="9"/>
  <c r="M17" i="7"/>
  <c r="N17" i="7" s="1"/>
  <c r="J17" i="7"/>
  <c r="K17" i="7" s="1"/>
  <c r="S14" i="9"/>
  <c r="G17" i="7"/>
  <c r="H17" i="7" s="1"/>
  <c r="M14" i="9"/>
  <c r="D17" i="7"/>
  <c r="E17" i="7" s="1"/>
  <c r="G14" i="9"/>
  <c r="M16" i="7"/>
  <c r="N16" i="7" s="1"/>
  <c r="Y13" i="9"/>
  <c r="S13" i="9"/>
  <c r="J16" i="7"/>
  <c r="K16" i="7" s="1"/>
  <c r="G16" i="7"/>
  <c r="H16" i="7" s="1"/>
  <c r="M13" i="9"/>
  <c r="G10" i="9"/>
  <c r="D13" i="7"/>
  <c r="E13" i="7" s="1"/>
  <c r="Y9" i="9"/>
  <c r="M12" i="7"/>
  <c r="N12" i="7" s="1"/>
  <c r="S9" i="9"/>
  <c r="J12" i="7"/>
  <c r="K12" i="7" s="1"/>
  <c r="G12" i="7"/>
  <c r="H12" i="7" s="1"/>
  <c r="M9" i="9"/>
  <c r="D12" i="7"/>
  <c r="E12" i="7" s="1"/>
  <c r="G9" i="9"/>
  <c r="M11" i="7"/>
  <c r="N11" i="7" s="1"/>
  <c r="Y8" i="9"/>
  <c r="S8" i="9"/>
  <c r="J11" i="7"/>
  <c r="K11" i="7" s="1"/>
  <c r="G11" i="7"/>
  <c r="H11" i="7" s="1"/>
  <c r="M8" i="9"/>
  <c r="G8" i="9"/>
  <c r="D11" i="7"/>
  <c r="E11" i="7" s="1"/>
  <c r="Y7" i="9"/>
  <c r="M10" i="7"/>
  <c r="N10" i="7" s="1"/>
  <c r="S7" i="9"/>
  <c r="J10" i="7"/>
  <c r="K10" i="7" s="1"/>
  <c r="M7" i="9"/>
  <c r="G10" i="7"/>
  <c r="H10" i="7" s="1"/>
  <c r="G7" i="9"/>
  <c r="D10" i="7"/>
  <c r="E10" i="7" s="1"/>
  <c r="Y6" i="9"/>
  <c r="M9" i="7"/>
  <c r="N9" i="7" s="1"/>
  <c r="S6" i="9"/>
  <c r="J9" i="7"/>
  <c r="K9" i="7" s="1"/>
  <c r="M6" i="9"/>
  <c r="G9" i="7"/>
  <c r="H9" i="7" s="1"/>
  <c r="G6" i="9"/>
  <c r="D9" i="7"/>
  <c r="E9" i="7" s="1"/>
  <c r="Y5" i="9"/>
  <c r="M8" i="7"/>
  <c r="N8" i="7" s="1"/>
  <c r="J8" i="7"/>
  <c r="K8" i="7" s="1"/>
  <c r="S5" i="9"/>
  <c r="M5" i="9"/>
  <c r="G8" i="7"/>
  <c r="H8" i="7" s="1"/>
  <c r="G5" i="9"/>
  <c r="D8" i="7"/>
  <c r="E8" i="7" s="1"/>
  <c r="Y4" i="9"/>
  <c r="M7" i="7"/>
  <c r="N7" i="7" s="1"/>
  <c r="S4" i="9"/>
  <c r="J7" i="7"/>
  <c r="K7" i="7" s="1"/>
  <c r="M4" i="9"/>
  <c r="G7" i="7"/>
  <c r="H7" i="7" s="1"/>
  <c r="G4" i="9"/>
  <c r="D7" i="7"/>
  <c r="E7" i="7" s="1"/>
  <c r="Y3" i="9"/>
  <c r="M6" i="7"/>
  <c r="N6" i="7" s="1"/>
  <c r="S3" i="9"/>
  <c r="J6" i="7"/>
  <c r="K6" i="7" s="1"/>
  <c r="M3" i="9"/>
  <c r="G6" i="7"/>
  <c r="H6" i="7" s="1"/>
  <c r="G3" i="9"/>
  <c r="D6" i="7"/>
  <c r="E6" i="7" s="1"/>
  <c r="F30" i="4"/>
  <c r="G25" i="4"/>
  <c r="G19" i="4"/>
  <c r="F24" i="4"/>
  <c r="F18" i="4"/>
  <c r="G14" i="4"/>
  <c r="G9" i="4"/>
  <c r="F13" i="4"/>
  <c r="F8" i="4"/>
  <c r="G33" i="4"/>
  <c r="G34" i="4" s="1"/>
  <c r="G4" i="4"/>
  <c r="G19" i="3"/>
  <c r="M19" i="3"/>
  <c r="M6" i="3"/>
  <c r="G6" i="3"/>
  <c r="G10" i="3"/>
  <c r="M10" i="3"/>
  <c r="G14" i="3"/>
  <c r="M14" i="3"/>
  <c r="G16" i="3"/>
  <c r="M16" i="3"/>
  <c r="G9" i="3"/>
  <c r="M9" i="3"/>
  <c r="G18" i="3"/>
  <c r="M18" i="3"/>
  <c r="M5" i="3"/>
  <c r="G5" i="3"/>
  <c r="G13" i="3"/>
  <c r="M13" i="3"/>
  <c r="M22" i="3"/>
  <c r="G22" i="3"/>
  <c r="G11" i="3"/>
  <c r="M11" i="3"/>
  <c r="M17" i="3"/>
  <c r="G17" i="3"/>
  <c r="L46" i="1"/>
  <c r="M46" i="1"/>
  <c r="M45" i="1"/>
  <c r="L45" i="1"/>
  <c r="M44" i="1"/>
  <c r="L44" i="1"/>
  <c r="M43" i="1"/>
  <c r="L43" i="1"/>
  <c r="L42" i="1"/>
  <c r="M42" i="1"/>
  <c r="L37" i="1"/>
  <c r="M37" i="1"/>
  <c r="M36" i="1"/>
  <c r="L36" i="1"/>
  <c r="L35" i="1"/>
  <c r="M35" i="1"/>
  <c r="M34" i="1"/>
  <c r="L34" i="1"/>
  <c r="L33" i="1"/>
  <c r="M33" i="1"/>
  <c r="L28" i="1"/>
  <c r="K28" i="1"/>
  <c r="L27" i="1"/>
  <c r="K27" i="1"/>
  <c r="L26" i="1"/>
  <c r="K26" i="1"/>
  <c r="L25" i="1"/>
  <c r="K25" i="1"/>
  <c r="L24" i="1"/>
  <c r="K24" i="1"/>
  <c r="B77" i="8"/>
  <c r="K53" i="8"/>
  <c r="B76" i="8"/>
  <c r="K52" i="8"/>
  <c r="K49" i="8"/>
  <c r="D54" i="8"/>
  <c r="B75" i="8"/>
  <c r="K27" i="8"/>
  <c r="B73" i="8"/>
  <c r="K25" i="8"/>
  <c r="B72" i="8"/>
  <c r="K24" i="8"/>
  <c r="K23" i="8"/>
  <c r="B71" i="8"/>
  <c r="B70" i="8"/>
  <c r="K22" i="8"/>
  <c r="B69" i="8"/>
  <c r="K21" i="8"/>
  <c r="B68" i="8"/>
  <c r="K20" i="8"/>
  <c r="B67" i="8"/>
  <c r="K19" i="8"/>
  <c r="B66" i="8"/>
  <c r="K18" i="8"/>
  <c r="B65" i="8"/>
  <c r="K17" i="8"/>
  <c r="K16" i="8"/>
  <c r="B64" i="8"/>
  <c r="B63" i="8"/>
  <c r="K15" i="8"/>
  <c r="B62" i="8"/>
  <c r="K14" i="8"/>
  <c r="K13" i="8"/>
  <c r="B61" i="8"/>
  <c r="B60" i="8"/>
  <c r="K12" i="8"/>
  <c r="B59" i="8"/>
  <c r="K11" i="8"/>
  <c r="H58" i="8"/>
  <c r="J30" i="8"/>
  <c r="G58" i="8"/>
  <c r="I30" i="8"/>
  <c r="F58" i="8"/>
  <c r="H30" i="8"/>
  <c r="E58" i="8"/>
  <c r="G30" i="8"/>
  <c r="D58" i="8"/>
  <c r="F30" i="8"/>
  <c r="E30" i="8"/>
  <c r="C58" i="8"/>
  <c r="B58" i="8"/>
  <c r="K10" i="8"/>
  <c r="D30" i="8"/>
  <c r="E3" i="10" l="1"/>
  <c r="D3" i="10" s="1"/>
  <c r="E6" i="10"/>
  <c r="D6" i="10" s="1"/>
  <c r="E12" i="10"/>
  <c r="D12" i="10" s="1"/>
  <c r="E15" i="10"/>
  <c r="D15" i="10" s="1"/>
  <c r="E18" i="10"/>
  <c r="D18" i="10" s="1"/>
  <c r="H9" i="3"/>
  <c r="E4" i="10"/>
  <c r="D4" i="10" s="1"/>
  <c r="E7" i="10"/>
  <c r="D7" i="10" s="1"/>
  <c r="E13" i="10"/>
  <c r="D13" i="10" s="1"/>
  <c r="E16" i="10"/>
  <c r="D16" i="10" s="1"/>
  <c r="E5" i="10"/>
  <c r="D5" i="10" s="1"/>
  <c r="E8" i="10"/>
  <c r="D8" i="10" s="1"/>
  <c r="E14" i="10"/>
  <c r="D14" i="10" s="1"/>
  <c r="E17" i="10"/>
  <c r="D17" i="10" s="1"/>
  <c r="I9" i="3"/>
  <c r="J16" i="3"/>
  <c r="L16" i="3"/>
  <c r="E22" i="10"/>
  <c r="D22" i="10" s="1"/>
  <c r="L9" i="3"/>
  <c r="J9" i="3"/>
  <c r="H5" i="3"/>
  <c r="L5" i="3"/>
  <c r="N5" i="3" s="1"/>
  <c r="J5" i="3"/>
  <c r="I5" i="3"/>
  <c r="I18" i="3"/>
  <c r="H18" i="3"/>
  <c r="I22" i="3"/>
  <c r="D19" i="9"/>
  <c r="P14" i="2" s="1"/>
  <c r="L10" i="3"/>
  <c r="N10" i="3" s="1"/>
  <c r="J10" i="3"/>
  <c r="I10" i="3"/>
  <c r="H10" i="3"/>
  <c r="L18" i="3"/>
  <c r="N18" i="3" s="1"/>
  <c r="J18" i="3"/>
  <c r="J7" i="3"/>
  <c r="E21" i="10"/>
  <c r="D21" i="10" s="1"/>
  <c r="I7" i="3"/>
  <c r="E19" i="10"/>
  <c r="D19" i="10" s="1"/>
  <c r="R16" i="7"/>
  <c r="T16" i="7" s="1"/>
  <c r="S16" i="7"/>
  <c r="H22" i="3"/>
  <c r="H16" i="3"/>
  <c r="I16" i="3"/>
  <c r="I14" i="3"/>
  <c r="H6" i="3"/>
  <c r="L6" i="3"/>
  <c r="N6" i="3" s="1"/>
  <c r="J6" i="3"/>
  <c r="I6" i="3"/>
  <c r="D20" i="4"/>
  <c r="L23" i="2"/>
  <c r="Z17" i="13" s="1"/>
  <c r="D10" i="4"/>
  <c r="L8" i="2"/>
  <c r="Z11" i="13" s="1"/>
  <c r="D11" i="4"/>
  <c r="L20" i="2"/>
  <c r="Z12" i="13" s="1"/>
  <c r="D12" i="9"/>
  <c r="P11" i="2" s="1"/>
  <c r="D22" i="9"/>
  <c r="P21" i="2" s="1"/>
  <c r="D21" i="9"/>
  <c r="P18" i="2" s="1"/>
  <c r="K54" i="8"/>
  <c r="L13" i="3"/>
  <c r="N13" i="3" s="1"/>
  <c r="L19" i="3"/>
  <c r="N19" i="3" s="1"/>
  <c r="J13" i="3"/>
  <c r="J19" i="3"/>
  <c r="I13" i="3"/>
  <c r="I19" i="3"/>
  <c r="H13" i="3"/>
  <c r="H19" i="3"/>
  <c r="L17" i="3"/>
  <c r="N17" i="3" s="1"/>
  <c r="J17" i="3"/>
  <c r="I17" i="3"/>
  <c r="H17" i="3"/>
  <c r="L11" i="3"/>
  <c r="N11" i="3" s="1"/>
  <c r="J11" i="3"/>
  <c r="I11" i="3"/>
  <c r="H11" i="3"/>
  <c r="L22" i="3"/>
  <c r="N22" i="3" s="1"/>
  <c r="L14" i="3"/>
  <c r="N14" i="3" s="1"/>
  <c r="J22" i="3"/>
  <c r="J14" i="3"/>
  <c r="D16" i="4"/>
  <c r="L24" i="2"/>
  <c r="Z15" i="13" s="1"/>
  <c r="L17" i="2"/>
  <c r="Z8" i="13" s="1"/>
  <c r="D7" i="4"/>
  <c r="D21" i="4"/>
  <c r="L16" i="2"/>
  <c r="Z18" i="13" s="1"/>
  <c r="D6" i="4"/>
  <c r="L22" i="2"/>
  <c r="Z7" i="13" s="1"/>
  <c r="D18" i="9"/>
  <c r="P10" i="2" s="1"/>
  <c r="D17" i="9"/>
  <c r="P19" i="2" s="1"/>
  <c r="D8" i="9"/>
  <c r="P25" i="2" s="1"/>
  <c r="D11" i="9"/>
  <c r="P15" i="2" s="1"/>
  <c r="D16" i="9"/>
  <c r="P16" i="2" s="1"/>
  <c r="D15" i="9"/>
  <c r="P23" i="2" s="1"/>
  <c r="D14" i="9"/>
  <c r="P7" i="2" s="1"/>
  <c r="D13" i="9"/>
  <c r="P24" i="2" s="1"/>
  <c r="D10" i="9"/>
  <c r="P20" i="2" s="1"/>
  <c r="D9" i="9"/>
  <c r="P8" i="2" s="1"/>
  <c r="D6" i="9"/>
  <c r="P17" i="2" s="1"/>
  <c r="D5" i="9"/>
  <c r="P22" i="2" s="1"/>
  <c r="D4" i="9"/>
  <c r="P12" i="2" s="1"/>
  <c r="D3" i="9"/>
  <c r="P13" i="2" s="1"/>
  <c r="K30" i="8"/>
  <c r="R22" i="7"/>
  <c r="T22" i="7" s="1"/>
  <c r="S22" i="7"/>
  <c r="R14" i="7"/>
  <c r="T14" i="7" s="1"/>
  <c r="S14" i="7"/>
  <c r="R24" i="7"/>
  <c r="T24" i="7" s="1"/>
  <c r="S24" i="7"/>
  <c r="R23" i="7"/>
  <c r="T23" i="7" s="1"/>
  <c r="S23" i="7"/>
  <c r="R15" i="7"/>
  <c r="T15" i="7" s="1"/>
  <c r="S15" i="7"/>
  <c r="D15" i="4"/>
  <c r="L11" i="2"/>
  <c r="Z14" i="13" s="1"/>
  <c r="D26" i="4"/>
  <c r="L14" i="2"/>
  <c r="Z21" i="13" s="1"/>
  <c r="D29" i="4"/>
  <c r="L21" i="2"/>
  <c r="Z24" i="13" s="1"/>
  <c r="D22" i="4"/>
  <c r="L19" i="2"/>
  <c r="Z19" i="13" s="1"/>
  <c r="D28" i="4"/>
  <c r="L18" i="2"/>
  <c r="Z23" i="13" s="1"/>
  <c r="D31" i="4"/>
  <c r="L9" i="2"/>
  <c r="Z9" i="13" s="1"/>
  <c r="N16" i="3"/>
  <c r="N9" i="3"/>
  <c r="L12" i="2"/>
  <c r="Z6" i="13" s="1"/>
  <c r="D5" i="4"/>
  <c r="D6" i="6"/>
  <c r="E6" i="6" s="1"/>
  <c r="O13" i="2" s="1"/>
  <c r="AA5" i="13" s="1"/>
  <c r="AC6" i="6"/>
  <c r="N13" i="2" s="1"/>
  <c r="D21" i="6"/>
  <c r="E21" i="6" s="1"/>
  <c r="O10" i="2" s="1"/>
  <c r="AA20" i="13" s="1"/>
  <c r="AC21" i="6"/>
  <c r="N10" i="2" s="1"/>
  <c r="AC18" i="6"/>
  <c r="N23" i="2" s="1"/>
  <c r="D18" i="6"/>
  <c r="E18" i="6" s="1"/>
  <c r="O23" i="2" s="1"/>
  <c r="AA17" i="13" s="1"/>
  <c r="D14" i="6"/>
  <c r="E14" i="6" s="1"/>
  <c r="O15" i="2" s="1"/>
  <c r="AA13" i="13" s="1"/>
  <c r="AC14" i="6"/>
  <c r="N15" i="2" s="1"/>
  <c r="AC11" i="6"/>
  <c r="N25" i="2" s="1"/>
  <c r="D11" i="6"/>
  <c r="E11" i="6" s="1"/>
  <c r="O25" i="2" s="1"/>
  <c r="AA10" i="13" s="1"/>
  <c r="AC22" i="6"/>
  <c r="N14" i="2" s="1"/>
  <c r="D22" i="6"/>
  <c r="E22" i="6" s="1"/>
  <c r="O14" i="2" s="1"/>
  <c r="AA21" i="13" s="1"/>
  <c r="D7" i="6"/>
  <c r="E7" i="6" s="1"/>
  <c r="O12" i="2" s="1"/>
  <c r="AC7" i="6"/>
  <c r="N12" i="2" s="1"/>
  <c r="D25" i="6"/>
  <c r="E25" i="6" s="1"/>
  <c r="O21" i="2" s="1"/>
  <c r="AA24" i="13" s="1"/>
  <c r="AC25" i="6"/>
  <c r="N21" i="2" s="1"/>
  <c r="AC24" i="6"/>
  <c r="N18" i="2" s="1"/>
  <c r="D24" i="6"/>
  <c r="E24" i="6" s="1"/>
  <c r="O18" i="2" s="1"/>
  <c r="AA23" i="13" s="1"/>
  <c r="AC19" i="6"/>
  <c r="N16" i="2" s="1"/>
  <c r="D19" i="6"/>
  <c r="E19" i="6" s="1"/>
  <c r="O16" i="2" s="1"/>
  <c r="AA18" i="13" s="1"/>
  <c r="D15" i="6"/>
  <c r="E15" i="6" s="1"/>
  <c r="O11" i="2" s="1"/>
  <c r="AA14" i="13" s="1"/>
  <c r="AC15" i="6"/>
  <c r="N11" i="2" s="1"/>
  <c r="AC13" i="6"/>
  <c r="N20" i="2" s="1"/>
  <c r="D13" i="6"/>
  <c r="E13" i="6" s="1"/>
  <c r="O20" i="2" s="1"/>
  <c r="AA12" i="13" s="1"/>
  <c r="AC20" i="6"/>
  <c r="N19" i="2" s="1"/>
  <c r="D20" i="6"/>
  <c r="E20" i="6" s="1"/>
  <c r="O19" i="2" s="1"/>
  <c r="AA19" i="13" s="1"/>
  <c r="D17" i="6"/>
  <c r="E17" i="6" s="1"/>
  <c r="O7" i="2" s="1"/>
  <c r="AA16" i="13" s="1"/>
  <c r="AC17" i="6"/>
  <c r="N7" i="2" s="1"/>
  <c r="D16" i="6"/>
  <c r="E16" i="6" s="1"/>
  <c r="O24" i="2" s="1"/>
  <c r="AA15" i="13" s="1"/>
  <c r="AC16" i="6"/>
  <c r="N24" i="2" s="1"/>
  <c r="D12" i="6"/>
  <c r="E12" i="6" s="1"/>
  <c r="O8" i="2" s="1"/>
  <c r="AA11" i="13" s="1"/>
  <c r="AC12" i="6"/>
  <c r="N8" i="2" s="1"/>
  <c r="D10" i="6"/>
  <c r="E10" i="6" s="1"/>
  <c r="O9" i="2" s="1"/>
  <c r="AA9" i="13" s="1"/>
  <c r="AC10" i="6"/>
  <c r="N9" i="2" s="1"/>
  <c r="D9" i="6"/>
  <c r="E9" i="6" s="1"/>
  <c r="O17" i="2" s="1"/>
  <c r="AA8" i="13" s="1"/>
  <c r="AC9" i="6"/>
  <c r="N17" i="2" s="1"/>
  <c r="D8" i="6"/>
  <c r="E8" i="6" s="1"/>
  <c r="O22" i="2" s="1"/>
  <c r="AA7" i="13" s="1"/>
  <c r="AC8" i="6"/>
  <c r="N22" i="2" s="1"/>
  <c r="R21" i="7"/>
  <c r="T21" i="7" s="1"/>
  <c r="S21" i="7"/>
  <c r="R20" i="7"/>
  <c r="T20" i="7" s="1"/>
  <c r="S20" i="7"/>
  <c r="R19" i="7"/>
  <c r="T19" i="7" s="1"/>
  <c r="S19" i="7"/>
  <c r="R18" i="7"/>
  <c r="T18" i="7" s="1"/>
  <c r="S18" i="7"/>
  <c r="R17" i="7"/>
  <c r="T17" i="7" s="1"/>
  <c r="S17" i="7"/>
  <c r="R13" i="7"/>
  <c r="T13" i="7" s="1"/>
  <c r="S13" i="7"/>
  <c r="R12" i="7"/>
  <c r="T12" i="7" s="1"/>
  <c r="S12" i="7"/>
  <c r="R11" i="7"/>
  <c r="T11" i="7" s="1"/>
  <c r="S11" i="7"/>
  <c r="R10" i="7"/>
  <c r="T10" i="7" s="1"/>
  <c r="S10" i="7"/>
  <c r="R9" i="7"/>
  <c r="T9" i="7" s="1"/>
  <c r="S9" i="7"/>
  <c r="R8" i="7"/>
  <c r="T8" i="7" s="1"/>
  <c r="S8" i="7"/>
  <c r="R7" i="7"/>
  <c r="T7" i="7" s="1"/>
  <c r="S7" i="7"/>
  <c r="R6" i="7"/>
  <c r="S6" i="7"/>
  <c r="H25" i="4"/>
  <c r="G30" i="4"/>
  <c r="H19" i="4"/>
  <c r="G24" i="4"/>
  <c r="H14" i="4"/>
  <c r="G18" i="4"/>
  <c r="H9" i="4"/>
  <c r="G13" i="4"/>
  <c r="H4" i="4"/>
  <c r="G8" i="4"/>
  <c r="I77" i="8"/>
  <c r="D9" i="2"/>
  <c r="I76" i="8"/>
  <c r="D21" i="2"/>
  <c r="I75" i="8"/>
  <c r="D18" i="2"/>
  <c r="D14" i="2"/>
  <c r="I73" i="8"/>
  <c r="D10" i="2"/>
  <c r="I72" i="8"/>
  <c r="D19" i="2"/>
  <c r="I71" i="8"/>
  <c r="I70" i="8"/>
  <c r="D16" i="2"/>
  <c r="D23" i="2"/>
  <c r="I69" i="8"/>
  <c r="D7" i="2"/>
  <c r="I68" i="8"/>
  <c r="I67" i="8"/>
  <c r="D24" i="2"/>
  <c r="I66" i="8"/>
  <c r="D11" i="2"/>
  <c r="I65" i="8"/>
  <c r="D15" i="2"/>
  <c r="I64" i="8"/>
  <c r="D20" i="2"/>
  <c r="I63" i="8"/>
  <c r="D8" i="2"/>
  <c r="I62" i="8"/>
  <c r="D25" i="2"/>
  <c r="I61" i="8"/>
  <c r="D17" i="2"/>
  <c r="I60" i="8"/>
  <c r="D22" i="2"/>
  <c r="I59" i="8"/>
  <c r="D12" i="2"/>
  <c r="J13" i="2"/>
  <c r="H78" i="8"/>
  <c r="G78" i="8"/>
  <c r="I13" i="2"/>
  <c r="F78" i="8"/>
  <c r="H13" i="2"/>
  <c r="J12" i="3" s="1"/>
  <c r="E78" i="8"/>
  <c r="G13" i="2"/>
  <c r="I12" i="3" s="1"/>
  <c r="D78" i="8"/>
  <c r="F13" i="2"/>
  <c r="C78" i="8"/>
  <c r="E13" i="2"/>
  <c r="I58" i="8"/>
  <c r="B78" i="8"/>
  <c r="D13" i="2"/>
  <c r="E22" i="11"/>
  <c r="D22" i="11" s="1"/>
  <c r="E21" i="11"/>
  <c r="D21" i="11" s="1"/>
  <c r="E19" i="11"/>
  <c r="D19" i="11" s="1"/>
  <c r="E18" i="11"/>
  <c r="D18" i="11" s="1"/>
  <c r="E8" i="11"/>
  <c r="D8" i="11" s="1"/>
  <c r="E14" i="11"/>
  <c r="D14" i="11" s="1"/>
  <c r="E13" i="11"/>
  <c r="D13" i="11" s="1"/>
  <c r="E12" i="11"/>
  <c r="D12" i="11" s="1"/>
  <c r="E11" i="11"/>
  <c r="D11" i="11" s="1"/>
  <c r="E10" i="11"/>
  <c r="D10" i="11" s="1"/>
  <c r="E7" i="11"/>
  <c r="D7" i="11" s="1"/>
  <c r="E5" i="11"/>
  <c r="D5" i="11" s="1"/>
  <c r="E4" i="11"/>
  <c r="D4" i="11" s="1"/>
  <c r="E3" i="11"/>
  <c r="D3" i="11" s="1"/>
  <c r="D7" i="9"/>
  <c r="P9" i="2" s="1"/>
  <c r="E17" i="11"/>
  <c r="D17" i="11" s="1"/>
  <c r="E16" i="11"/>
  <c r="D16" i="11" s="1"/>
  <c r="E15" i="11"/>
  <c r="D15" i="11" s="1"/>
  <c r="E9" i="11"/>
  <c r="D9" i="11" s="1"/>
  <c r="E6" i="11"/>
  <c r="D6" i="11" s="1"/>
  <c r="K18" i="3" l="1"/>
  <c r="K9" i="3"/>
  <c r="K5" i="3"/>
  <c r="M12" i="3"/>
  <c r="M7" i="3"/>
  <c r="L12" i="3"/>
  <c r="L7" i="3"/>
  <c r="N7" i="3" s="1"/>
  <c r="H12" i="3"/>
  <c r="K12" i="3" s="1"/>
  <c r="H7" i="3"/>
  <c r="K7" i="3" s="1"/>
  <c r="G12" i="3"/>
  <c r="G7" i="3"/>
  <c r="K13" i="3"/>
  <c r="K16" i="3"/>
  <c r="K19" i="3"/>
  <c r="K10" i="3"/>
  <c r="K22" i="3"/>
  <c r="M21" i="3"/>
  <c r="M20" i="3"/>
  <c r="L21" i="3"/>
  <c r="L20" i="3"/>
  <c r="J21" i="3"/>
  <c r="J20" i="3"/>
  <c r="I21" i="3"/>
  <c r="I20" i="3"/>
  <c r="H21" i="3"/>
  <c r="H20" i="3"/>
  <c r="G21" i="3"/>
  <c r="G20" i="3"/>
  <c r="K17" i="3"/>
  <c r="K11" i="3"/>
  <c r="K6" i="3"/>
  <c r="K14" i="3"/>
  <c r="I78" i="8"/>
  <c r="M23" i="3"/>
  <c r="M8" i="3"/>
  <c r="L23" i="3"/>
  <c r="L8" i="3"/>
  <c r="J23" i="3"/>
  <c r="J8" i="3"/>
  <c r="I23" i="3"/>
  <c r="I8" i="3"/>
  <c r="H23" i="3"/>
  <c r="H8" i="3"/>
  <c r="G23" i="3"/>
  <c r="G8" i="3"/>
  <c r="S26" i="7"/>
  <c r="P27" i="2"/>
  <c r="N27" i="2"/>
  <c r="O27" i="2"/>
  <c r="AA6" i="13"/>
  <c r="T6" i="7"/>
  <c r="R26" i="7"/>
  <c r="H30" i="4"/>
  <c r="L10" i="2"/>
  <c r="D25" i="4"/>
  <c r="D30" i="4" s="1"/>
  <c r="H24" i="4"/>
  <c r="L7" i="2"/>
  <c r="Z16" i="13" s="1"/>
  <c r="D19" i="4"/>
  <c r="D24" i="4" s="1"/>
  <c r="H18" i="4"/>
  <c r="L15" i="2"/>
  <c r="Z13" i="13" s="1"/>
  <c r="D14" i="4"/>
  <c r="D18" i="4" s="1"/>
  <c r="H13" i="4"/>
  <c r="L25" i="2"/>
  <c r="Z10" i="13" s="1"/>
  <c r="D9" i="4"/>
  <c r="D13" i="4" s="1"/>
  <c r="H8" i="4"/>
  <c r="L13" i="2"/>
  <c r="Z5" i="13" s="1"/>
  <c r="D4" i="4"/>
  <c r="D8" i="4" s="1"/>
  <c r="E14" i="3"/>
  <c r="K9" i="2"/>
  <c r="E9" i="3"/>
  <c r="K21" i="2"/>
  <c r="E12" i="3"/>
  <c r="K18" i="2"/>
  <c r="E18" i="3"/>
  <c r="K14" i="2"/>
  <c r="E16" i="3"/>
  <c r="K10" i="2"/>
  <c r="E19" i="3"/>
  <c r="K19" i="2"/>
  <c r="E8" i="3"/>
  <c r="K16" i="2"/>
  <c r="E7" i="3"/>
  <c r="K23" i="2"/>
  <c r="E6" i="3"/>
  <c r="K7" i="2"/>
  <c r="E10" i="3"/>
  <c r="K24" i="2"/>
  <c r="E21" i="3"/>
  <c r="K11" i="2"/>
  <c r="E20" i="3"/>
  <c r="K15" i="2"/>
  <c r="E5" i="3"/>
  <c r="K20" i="2"/>
  <c r="E23" i="3"/>
  <c r="K8" i="2"/>
  <c r="E13" i="3"/>
  <c r="K25" i="2"/>
  <c r="E17" i="3"/>
  <c r="K17" i="2"/>
  <c r="E11" i="3"/>
  <c r="K22" i="2"/>
  <c r="E22" i="3"/>
  <c r="K12" i="2"/>
  <c r="D27" i="2"/>
  <c r="M15" i="3"/>
  <c r="J27" i="2"/>
  <c r="L15" i="3"/>
  <c r="I27" i="2"/>
  <c r="J15" i="3"/>
  <c r="H27" i="2"/>
  <c r="I15" i="3"/>
  <c r="G27" i="2"/>
  <c r="H15" i="3"/>
  <c r="F27" i="2"/>
  <c r="G15" i="3"/>
  <c r="E27" i="2"/>
  <c r="E15" i="3"/>
  <c r="K13" i="2"/>
  <c r="N12" i="3" l="1"/>
  <c r="N21" i="3"/>
  <c r="N20" i="3"/>
  <c r="K21" i="3"/>
  <c r="K20" i="3"/>
  <c r="K23" i="3"/>
  <c r="N23" i="3"/>
  <c r="N8" i="3"/>
  <c r="G25" i="3"/>
  <c r="K8" i="3"/>
  <c r="L27" i="2"/>
  <c r="Z20" i="13"/>
  <c r="Q14" i="3"/>
  <c r="F14" i="3"/>
  <c r="O14" i="3" s="1"/>
  <c r="Q9" i="2"/>
  <c r="Y9" i="13"/>
  <c r="Q9" i="3"/>
  <c r="F9" i="3"/>
  <c r="O9" i="3" s="1"/>
  <c r="Q21" i="2"/>
  <c r="AB24" i="13" s="1"/>
  <c r="Y24" i="13"/>
  <c r="Q12" i="3"/>
  <c r="F12" i="3"/>
  <c r="O12" i="3" s="1"/>
  <c r="Q18" i="2"/>
  <c r="AB23" i="13" s="1"/>
  <c r="Y23" i="13"/>
  <c r="Q18" i="3"/>
  <c r="F18" i="3"/>
  <c r="O18" i="3" s="1"/>
  <c r="Y21" i="13"/>
  <c r="Q14" i="2"/>
  <c r="AB21" i="13" s="1"/>
  <c r="Q16" i="3"/>
  <c r="F16" i="3"/>
  <c r="O16" i="3" s="1"/>
  <c r="Y20" i="13"/>
  <c r="Q10" i="2"/>
  <c r="Q19" i="3"/>
  <c r="F19" i="3"/>
  <c r="O19" i="3" s="1"/>
  <c r="Q19" i="2"/>
  <c r="AB19" i="13" s="1"/>
  <c r="Y19" i="13"/>
  <c r="Q8" i="3"/>
  <c r="F8" i="3"/>
  <c r="Q16" i="2"/>
  <c r="AB18" i="13" s="1"/>
  <c r="Y18" i="13"/>
  <c r="Q7" i="3"/>
  <c r="F7" i="3"/>
  <c r="O7" i="3" s="1"/>
  <c r="Q23" i="2"/>
  <c r="AB17" i="13" s="1"/>
  <c r="Y17" i="13"/>
  <c r="Q6" i="3"/>
  <c r="F6" i="3"/>
  <c r="O6" i="3" s="1"/>
  <c r="Y16" i="13"/>
  <c r="Q7" i="2"/>
  <c r="Q10" i="3"/>
  <c r="F10" i="3"/>
  <c r="O10" i="3" s="1"/>
  <c r="Q24" i="2"/>
  <c r="AB15" i="13" s="1"/>
  <c r="Y15" i="13"/>
  <c r="Q21" i="3"/>
  <c r="F21" i="3"/>
  <c r="Y14" i="13"/>
  <c r="Q11" i="2"/>
  <c r="AB14" i="13" s="1"/>
  <c r="Q20" i="3"/>
  <c r="F20" i="3"/>
  <c r="Y13" i="13"/>
  <c r="Q15" i="2"/>
  <c r="Q5" i="3"/>
  <c r="F5" i="3"/>
  <c r="O5" i="3" s="1"/>
  <c r="Q20" i="2"/>
  <c r="AB12" i="13" s="1"/>
  <c r="Y12" i="13"/>
  <c r="Q23" i="3"/>
  <c r="F23" i="3"/>
  <c r="Q8" i="2"/>
  <c r="Y11" i="13"/>
  <c r="Q13" i="3"/>
  <c r="F13" i="3"/>
  <c r="O13" i="3" s="1"/>
  <c r="Q25" i="2"/>
  <c r="AB10" i="13" s="1"/>
  <c r="Y10" i="13"/>
  <c r="Q17" i="3"/>
  <c r="F17" i="3"/>
  <c r="O17" i="3" s="1"/>
  <c r="Y8" i="13"/>
  <c r="Q17" i="2"/>
  <c r="AB8" i="13" s="1"/>
  <c r="Q11" i="3"/>
  <c r="F11" i="3"/>
  <c r="O11" i="3" s="1"/>
  <c r="Q22" i="2"/>
  <c r="AB7" i="13" s="1"/>
  <c r="Y7" i="13"/>
  <c r="Q22" i="3"/>
  <c r="F22" i="3"/>
  <c r="O22" i="3" s="1"/>
  <c r="Q12" i="2"/>
  <c r="K27" i="2"/>
  <c r="Y6" i="13"/>
  <c r="L25" i="3"/>
  <c r="N15" i="3"/>
  <c r="H25" i="3"/>
  <c r="K15" i="3"/>
  <c r="E25" i="3"/>
  <c r="Q15" i="3"/>
  <c r="F15" i="3"/>
  <c r="Y5" i="13"/>
  <c r="Q13" i="2"/>
  <c r="AB5" i="13" s="1"/>
  <c r="O21" i="3" l="1"/>
  <c r="P21" i="3" s="1"/>
  <c r="O20" i="3"/>
  <c r="P20" i="3" s="1"/>
  <c r="O23" i="3"/>
  <c r="N25" i="3"/>
  <c r="O8" i="3"/>
  <c r="P8" i="3" s="1"/>
  <c r="K25" i="3"/>
  <c r="P14" i="3"/>
  <c r="S9" i="2"/>
  <c r="R9" i="2" s="1"/>
  <c r="AB9" i="13"/>
  <c r="M11" i="1"/>
  <c r="P9" i="3"/>
  <c r="P12" i="3"/>
  <c r="P18" i="3"/>
  <c r="S14" i="2"/>
  <c r="R14" i="2" s="1"/>
  <c r="P16" i="3"/>
  <c r="S10" i="2"/>
  <c r="R10" i="2" s="1"/>
  <c r="M10" i="1"/>
  <c r="N10" i="1" s="1"/>
  <c r="AB20" i="13"/>
  <c r="P19" i="3"/>
  <c r="P7" i="3"/>
  <c r="S7" i="2"/>
  <c r="R7" i="2" s="1"/>
  <c r="P6" i="3"/>
  <c r="M9" i="1"/>
  <c r="N9" i="1" s="1"/>
  <c r="AB16" i="13"/>
  <c r="P10" i="3"/>
  <c r="S24" i="2"/>
  <c r="R24" i="2" s="1"/>
  <c r="S11" i="2"/>
  <c r="R11" i="2" s="1"/>
  <c r="S15" i="2"/>
  <c r="R15" i="2" s="1"/>
  <c r="M8" i="1"/>
  <c r="N8" i="1" s="1"/>
  <c r="AB13" i="13"/>
  <c r="P5" i="3"/>
  <c r="S8" i="2"/>
  <c r="R8" i="2" s="1"/>
  <c r="AB11" i="13"/>
  <c r="M7" i="1"/>
  <c r="N7" i="1" s="1"/>
  <c r="P13" i="3"/>
  <c r="S25" i="2"/>
  <c r="R25" i="2" s="1"/>
  <c r="P17" i="3"/>
  <c r="P11" i="3"/>
  <c r="S22" i="2"/>
  <c r="R22" i="2" s="1"/>
  <c r="P22" i="3"/>
  <c r="S12" i="2"/>
  <c r="R12" i="2" s="1"/>
  <c r="Q27" i="2"/>
  <c r="M6" i="1"/>
  <c r="D7" i="1"/>
  <c r="AB6" i="13"/>
  <c r="D6" i="1"/>
  <c r="D8" i="1"/>
  <c r="D9" i="1"/>
  <c r="D10" i="1"/>
  <c r="C15" i="1"/>
  <c r="C16" i="1"/>
  <c r="C17" i="1"/>
  <c r="I17" i="1"/>
  <c r="C18" i="1"/>
  <c r="I18" i="1"/>
  <c r="C19" i="1"/>
  <c r="O15" i="3"/>
  <c r="F25" i="3"/>
  <c r="Q25" i="3"/>
  <c r="S19" i="2" l="1"/>
  <c r="R19" i="2" s="1"/>
  <c r="S18" i="2"/>
  <c r="R18" i="2" s="1"/>
  <c r="P23" i="3"/>
  <c r="R23" i="3" s="1"/>
  <c r="S16" i="2"/>
  <c r="R16" i="2" s="1"/>
  <c r="S20" i="2"/>
  <c r="R20" i="2" s="1"/>
  <c r="S17" i="2"/>
  <c r="R17" i="2" s="1"/>
  <c r="S23" i="2"/>
  <c r="R23" i="2" s="1"/>
  <c r="S21" i="2"/>
  <c r="R21" i="2" s="1"/>
  <c r="R14" i="3"/>
  <c r="R9" i="3"/>
  <c r="R12" i="3"/>
  <c r="R18" i="3"/>
  <c r="R16" i="3"/>
  <c r="R19" i="3"/>
  <c r="R8" i="3"/>
  <c r="R7" i="3"/>
  <c r="R6" i="3"/>
  <c r="R10" i="3"/>
  <c r="R21" i="3"/>
  <c r="R20" i="3"/>
  <c r="R5" i="3"/>
  <c r="R13" i="3"/>
  <c r="R17" i="3"/>
  <c r="R22" i="3"/>
  <c r="Q34" i="2"/>
  <c r="Q3" i="2"/>
  <c r="N6" i="1"/>
  <c r="I15" i="1"/>
  <c r="I16" i="1" s="1"/>
  <c r="E7" i="1"/>
  <c r="F7" i="1"/>
  <c r="B7" i="1"/>
  <c r="C7" i="1"/>
  <c r="E6" i="1"/>
  <c r="F6" i="1"/>
  <c r="B6" i="1"/>
  <c r="C6" i="1"/>
  <c r="E8" i="1"/>
  <c r="F8" i="1"/>
  <c r="B8" i="1"/>
  <c r="C8" i="1"/>
  <c r="E9" i="1"/>
  <c r="F9" i="1"/>
  <c r="C9" i="1"/>
  <c r="B9" i="1"/>
  <c r="E10" i="1"/>
  <c r="F10" i="1"/>
  <c r="B10" i="1"/>
  <c r="C10" i="1"/>
  <c r="D15" i="1"/>
  <c r="E15" i="1"/>
  <c r="D16" i="1"/>
  <c r="E16" i="1"/>
  <c r="D17" i="1"/>
  <c r="E17" i="1"/>
  <c r="D18" i="1"/>
  <c r="E18" i="1"/>
  <c r="D19" i="1"/>
  <c r="E19" i="1"/>
  <c r="P15" i="3"/>
  <c r="O25" i="3"/>
  <c r="S13" i="2"/>
  <c r="R13" i="2" s="1"/>
  <c r="A9" i="3" l="1"/>
  <c r="A16" i="3"/>
  <c r="A7" i="3"/>
  <c r="A13" i="3"/>
  <c r="A22" i="3"/>
  <c r="A20" i="3"/>
  <c r="A12" i="3"/>
  <c r="A21" i="3"/>
  <c r="A14" i="3"/>
  <c r="A18" i="3"/>
  <c r="A19" i="3"/>
  <c r="A8" i="3"/>
  <c r="A6" i="3"/>
  <c r="A23" i="3"/>
  <c r="A11" i="3"/>
  <c r="R15" i="3"/>
  <c r="A15" i="3"/>
  <c r="A10" i="3"/>
  <c r="A5" i="3"/>
  <c r="A17" i="3"/>
  <c r="S2" i="2"/>
  <c r="S4" i="2"/>
  <c r="S3" i="2"/>
</calcChain>
</file>

<file path=xl/sharedStrings.xml><?xml version="1.0" encoding="utf-8"?>
<sst xmlns="http://schemas.openxmlformats.org/spreadsheetml/2006/main" count="2551" uniqueCount="456">
  <si>
    <t>🎯 倚盟今日排行 - 即時追蹤業績排名</t>
  </si>
  <si>
    <t>📅 今日日期：</t>
  </si>
  <si>
    <t>⏰ 剩餘天數：</t>
  </si>
  <si>
    <t>📊 業績週期：</t>
  </si>
  <si>
    <t>🏆 總獎金 TOP 5 排行榜</t>
  </si>
  <si>
    <t>🏪 各店業績統計</t>
  </si>
  <si>
    <t>排名</t>
  </si>
  <si>
    <t>姓名</t>
  </si>
  <si>
    <t>店點</t>
  </si>
  <si>
    <t>總獎金</t>
  </si>
  <si>
    <t>等級</t>
  </si>
  <si>
    <t>進度條</t>
  </si>
  <si>
    <t>人數</t>
  </si>
  <si>
    <r>
      <rPr>
        <b/>
        <sz val="11"/>
        <color rgb="FFFFFFFF"/>
        <rFont val="微軟正黑體"/>
        <family val="2"/>
        <charset val="136"/>
      </rPr>
      <t>AQ</t>
    </r>
    <r>
      <rPr>
        <b/>
        <sz val="11"/>
        <color rgb="FFFFFFFF"/>
        <rFont val="Noto Sans CJK SC"/>
        <family val="2"/>
      </rPr>
      <t>累計</t>
    </r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</si>
  <si>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>累計</t>
    </r>
  </si>
  <si>
    <t>手機案累計</t>
  </si>
  <si>
    <t>平均獎金</t>
  </si>
  <si>
    <t>鼎山店</t>
  </si>
  <si>
    <t>陽明店</t>
  </si>
  <si>
    <t>後昌店</t>
  </si>
  <si>
    <t>仁雄店</t>
  </si>
  <si>
    <t>凱旋店</t>
  </si>
  <si>
    <t>區督導</t>
  </si>
  <si>
    <t>黃庭鈞</t>
  </si>
  <si>
    <t>獎金等級分布</t>
  </si>
  <si>
    <t>📈 業績獎金      統計摘要</t>
  </si>
  <si>
    <t>獎金範圍</t>
  </si>
  <si>
    <t>占比</t>
  </si>
  <si>
    <t>圖示</t>
  </si>
  <si>
    <t>總員工數</t>
  </si>
  <si>
    <t>人</t>
  </si>
  <si>
    <t>🏆🏆 頂尖</t>
  </si>
  <si>
    <r>
      <rPr>
        <sz val="11"/>
        <color theme="1"/>
        <rFont val="微軟正黑體"/>
        <family val="2"/>
        <charset val="136"/>
      </rPr>
      <t>$14,000</t>
    </r>
    <r>
      <rPr>
        <sz val="11"/>
        <color theme="1"/>
        <rFont val="Noto Sans CJK SC"/>
        <family val="2"/>
      </rPr>
      <t>以上</t>
    </r>
  </si>
  <si>
    <t>元</t>
  </si>
  <si>
    <t>🏆明星</t>
  </si>
  <si>
    <t>$10,000-$14000</t>
  </si>
  <si>
    <t>💪 優秀</t>
  </si>
  <si>
    <t>$7,000-$10000</t>
  </si>
  <si>
    <t>最高獎金</t>
  </si>
  <si>
    <t>✅ 合格</t>
  </si>
  <si>
    <t>$4,000-$7000</t>
  </si>
  <si>
    <t>最低獎金</t>
  </si>
  <si>
    <t>📈 加油</t>
  </si>
  <si>
    <r>
      <rPr>
        <sz val="11"/>
        <color theme="1"/>
        <rFont val="微軟正黑體"/>
        <family val="2"/>
        <charset val="136"/>
      </rPr>
      <t>$4,000</t>
    </r>
    <r>
      <rPr>
        <sz val="11"/>
        <color theme="1"/>
        <rFont val="Noto Sans CJK SC"/>
        <family val="2"/>
      </rPr>
      <t>以下</t>
    </r>
  </si>
  <si>
    <t>總AQ點數</t>
  </si>
  <si>
    <t>點</t>
  </si>
  <si>
    <t>店毛利</t>
  </si>
  <si>
    <t>店目標</t>
  </si>
  <si>
    <t>實際進度</t>
  </si>
  <si>
    <t>達成率</t>
  </si>
  <si>
    <t>獎金</t>
  </si>
  <si>
    <r>
      <rPr>
        <b/>
        <sz val="14"/>
        <color rgb="FFFFFFFF"/>
        <rFont val="jf open 粉圓 2.1"/>
        <family val="1"/>
        <charset val="136"/>
      </rPr>
      <t>AQ</t>
    </r>
    <r>
      <rPr>
        <b/>
        <sz val="14"/>
        <color rgb="FFFFFFFF"/>
        <rFont val="Noto Sans CJK SC"/>
        <family val="2"/>
      </rPr>
      <t>上線點數</t>
    </r>
  </si>
  <si>
    <t>台哥大目標</t>
  </si>
  <si>
    <r>
      <rPr>
        <b/>
        <sz val="14"/>
        <color rgb="FFFFFFFF"/>
        <rFont val="jf open 粉圓 2.1"/>
        <family val="1"/>
        <charset val="136"/>
      </rPr>
      <t>RT</t>
    </r>
    <r>
      <rPr>
        <b/>
        <sz val="14"/>
        <color rgb="FFFFFFFF"/>
        <rFont val="Noto Sans CJK SC"/>
        <family val="2"/>
      </rPr>
      <t>上線點數</t>
    </r>
  </si>
  <si>
    <t>Netflix</t>
  </si>
  <si>
    <t>HBO Max&amp;Disney+&amp;Prime Video</t>
  </si>
  <si>
    <t>MyVideo&amp;KKBOX</t>
  </si>
  <si>
    <r>
      <rPr>
        <b/>
        <sz val="14"/>
        <color rgb="FFFFFFFF"/>
        <rFont val="jf open 粉圓 2.1"/>
        <family val="1"/>
        <charset val="136"/>
      </rPr>
      <t>Apple&amp;Google</t>
    </r>
    <r>
      <rPr>
        <b/>
        <sz val="14"/>
        <color rgb="FFFFFFFF"/>
        <rFont val="Noto Sans CJK SC"/>
        <family val="2"/>
      </rPr>
      <t>服務</t>
    </r>
  </si>
  <si>
    <t>表現頂尖</t>
  </si>
  <si>
    <t>【你的全部獎金】</t>
  </si>
  <si>
    <t>總發出獎金</t>
  </si>
  <si>
    <t>在進度內</t>
  </si>
  <si>
    <t>狀況不佳</t>
  </si>
  <si>
    <t>員工資訊</t>
  </si>
  <si>
    <t xml:space="preserve"> 基礎獎金</t>
  </si>
  <si>
    <t>基礎獎金</t>
  </si>
  <si>
    <t xml:space="preserve">     毛利分潤獎金</t>
  </si>
  <si>
    <t>🏆 追星獎</t>
  </si>
  <si>
    <t xml:space="preserve"> 全壘打獎金</t>
  </si>
  <si>
    <r>
      <rPr>
        <sz val="11"/>
        <color theme="1"/>
        <rFont val="微軟正黑體"/>
        <family val="2"/>
        <charset val="136"/>
      </rPr>
      <t>KPI</t>
    </r>
    <r>
      <rPr>
        <sz val="11"/>
        <color theme="1"/>
        <rFont val="Noto Sans CJK SC"/>
        <family val="2"/>
      </rPr>
      <t>獎金</t>
    </r>
  </si>
  <si>
    <t xml:space="preserve">   你的累計獎金</t>
  </si>
  <si>
    <r>
      <rPr>
        <sz val="12"/>
        <color theme="0"/>
        <rFont val="微軟正黑體"/>
        <family val="2"/>
        <charset val="136"/>
      </rPr>
      <t>KPI</t>
    </r>
    <r>
      <rPr>
        <sz val="12"/>
        <color theme="0"/>
        <rFont val="Noto Sans CJK SC"/>
        <family val="2"/>
      </rPr>
      <t>分數</t>
    </r>
  </si>
  <si>
    <t>總積分</t>
  </si>
  <si>
    <t>職級</t>
  </si>
  <si>
    <r>
      <rPr>
        <sz val="11"/>
        <color theme="1"/>
        <rFont val="微軟正黑體"/>
        <family val="2"/>
        <charset val="136"/>
      </rPr>
      <t>AQ
(100</t>
    </r>
    <r>
      <rPr>
        <sz val="11"/>
        <color theme="1"/>
        <rFont val="Noto Sans CJK SC"/>
        <family val="2"/>
      </rPr>
      <t>元</t>
    </r>
    <r>
      <rPr>
        <sz val="11"/>
        <color theme="1"/>
        <rFont val="微軟正黑體"/>
        <family val="2"/>
        <charset val="136"/>
      </rPr>
      <t>/</t>
    </r>
    <r>
      <rPr>
        <sz val="11"/>
        <color theme="1"/>
        <rFont val="Noto Sans CJK SC"/>
        <family val="2"/>
      </rPr>
      <t>點</t>
    </r>
    <r>
      <rPr>
        <sz val="11"/>
        <color theme="1"/>
        <rFont val="微軟正黑體"/>
        <family val="2"/>
        <charset val="136"/>
      </rPr>
      <t>)</t>
    </r>
  </si>
  <si>
    <r>
      <rPr>
        <sz val="11"/>
        <color theme="1"/>
        <rFont val="微軟正黑體"/>
        <family val="2"/>
        <charset val="136"/>
      </rPr>
      <t>AQ999
(300</t>
    </r>
    <r>
      <rPr>
        <sz val="11"/>
        <color theme="1"/>
        <rFont val="Noto Sans CJK SC"/>
        <family val="2"/>
      </rPr>
      <t>元</t>
    </r>
    <r>
      <rPr>
        <sz val="11"/>
        <color theme="1"/>
        <rFont val="微軟正黑體"/>
        <family val="2"/>
        <charset val="136"/>
      </rPr>
      <t>/</t>
    </r>
    <r>
      <rPr>
        <sz val="11"/>
        <color theme="1"/>
        <rFont val="Noto Sans CJK SC"/>
        <family val="2"/>
      </rPr>
      <t>件</t>
    </r>
    <r>
      <rPr>
        <sz val="11"/>
        <color theme="1"/>
        <rFont val="微軟正黑體"/>
        <family val="2"/>
        <charset val="136"/>
      </rPr>
      <t>)</t>
    </r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</si>
  <si>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 xml:space="preserve">升轉
</t>
    </r>
    <r>
      <rPr>
        <sz val="11"/>
        <color theme="1"/>
        <rFont val="微軟正黑體"/>
        <family val="2"/>
        <charset val="136"/>
      </rPr>
      <t>(100</t>
    </r>
    <r>
      <rPr>
        <sz val="11"/>
        <color theme="1"/>
        <rFont val="Noto Sans CJK SC"/>
        <family val="2"/>
      </rPr>
      <t>元</t>
    </r>
    <r>
      <rPr>
        <sz val="11"/>
        <color theme="1"/>
        <rFont val="微軟正黑體"/>
        <family val="2"/>
        <charset val="136"/>
      </rPr>
      <t>/</t>
    </r>
    <r>
      <rPr>
        <sz val="11"/>
        <color theme="1"/>
        <rFont val="Noto Sans CJK SC"/>
        <family val="2"/>
      </rPr>
      <t>件</t>
    </r>
    <r>
      <rPr>
        <sz val="11"/>
        <color theme="1"/>
        <rFont val="微軟正黑體"/>
        <family val="2"/>
        <charset val="136"/>
      </rPr>
      <t>)</t>
    </r>
  </si>
  <si>
    <r>
      <rPr>
        <sz val="11"/>
        <color theme="1"/>
        <rFont val="微軟正黑體"/>
        <family val="2"/>
        <charset val="136"/>
      </rPr>
      <t>RT1399
(100</t>
    </r>
    <r>
      <rPr>
        <sz val="11"/>
        <color theme="1"/>
        <rFont val="Noto Sans CJK SC"/>
        <family val="2"/>
      </rPr>
      <t>元</t>
    </r>
    <r>
      <rPr>
        <sz val="11"/>
        <color theme="1"/>
        <rFont val="微軟正黑體"/>
        <family val="2"/>
        <charset val="136"/>
      </rPr>
      <t>/</t>
    </r>
    <r>
      <rPr>
        <sz val="11"/>
        <color theme="1"/>
        <rFont val="Noto Sans CJK SC"/>
        <family val="2"/>
      </rPr>
      <t>件</t>
    </r>
    <r>
      <rPr>
        <sz val="11"/>
        <color theme="1"/>
        <rFont val="微軟正黑體"/>
        <family val="2"/>
        <charset val="136"/>
      </rPr>
      <t>)</t>
    </r>
  </si>
  <si>
    <t>特維
(100元/件)</t>
  </si>
  <si>
    <t>寬頻
(500元/點)</t>
  </si>
  <si>
    <r>
      <rPr>
        <sz val="11"/>
        <color theme="1"/>
        <rFont val="微軟正黑體"/>
        <family val="2"/>
        <charset val="136"/>
      </rPr>
      <t>OP</t>
    </r>
    <r>
      <rPr>
        <sz val="11"/>
        <color theme="1"/>
        <rFont val="Noto Sans CJK SC"/>
        <family val="2"/>
      </rPr>
      <t>案</t>
    </r>
    <r>
      <rPr>
        <sz val="11"/>
        <color theme="1"/>
        <rFont val="微軟正黑體"/>
        <family val="2"/>
        <charset val="136"/>
      </rPr>
      <t>(</t>
    </r>
    <r>
      <rPr>
        <sz val="11"/>
        <color theme="1"/>
        <rFont val="Noto Sans CJK SC"/>
        <family val="2"/>
      </rPr>
      <t>限</t>
    </r>
    <r>
      <rPr>
        <sz val="11"/>
        <color theme="1"/>
        <rFont val="微軟正黑體"/>
        <family val="2"/>
        <charset val="136"/>
      </rPr>
      <t>5</t>
    </r>
    <r>
      <rPr>
        <sz val="11"/>
        <color theme="1"/>
        <rFont val="Noto Sans CJK SC"/>
        <family val="2"/>
      </rPr>
      <t>件</t>
    </r>
    <r>
      <rPr>
        <sz val="11"/>
        <color theme="1"/>
        <rFont val="微軟正黑體"/>
        <family val="2"/>
        <charset val="136"/>
      </rPr>
      <t xml:space="preserve">)
</t>
    </r>
    <r>
      <rPr>
        <sz val="11"/>
        <color theme="1"/>
        <rFont val="Noto Sans CJK SC"/>
        <family val="2"/>
      </rPr>
      <t>每件</t>
    </r>
    <r>
      <rPr>
        <sz val="11"/>
        <color theme="1"/>
        <rFont val="微軟正黑體"/>
        <family val="2"/>
        <charset val="136"/>
      </rPr>
      <t>500</t>
    </r>
    <r>
      <rPr>
        <sz val="11"/>
        <color theme="1"/>
        <rFont val="Noto Sans CJK SC"/>
        <family val="2"/>
      </rPr>
      <t>元</t>
    </r>
  </si>
  <si>
    <t>累計獎金</t>
  </si>
  <si>
    <t>預估月底</t>
  </si>
  <si>
    <t>分數</t>
  </si>
  <si>
    <t>淨獎金</t>
  </si>
  <si>
    <t>獎金合計</t>
  </si>
  <si>
    <r>
      <rPr>
        <b/>
        <sz val="10"/>
        <color theme="0"/>
        <rFont val="微軟正黑體"/>
        <family val="2"/>
        <charset val="136"/>
      </rPr>
      <t>5</t>
    </r>
    <r>
      <rPr>
        <b/>
        <sz val="10"/>
        <color theme="0"/>
        <rFont val="Noto Sans CJK SC"/>
        <family val="2"/>
      </rPr>
      <t>大項目</t>
    </r>
  </si>
  <si>
    <t>總積分/130000</t>
  </si>
  <si>
    <t>黃閔聖</t>
  </si>
  <si>
    <t>銀級</t>
  </si>
  <si>
    <t>陳宛姍</t>
  </si>
  <si>
    <t>白金級</t>
  </si>
  <si>
    <t xml:space="preserve">  </t>
  </si>
  <si>
    <t>黃傑稜</t>
  </si>
  <si>
    <t>金級</t>
  </si>
  <si>
    <t>黃金級</t>
  </si>
  <si>
    <t>劉家妘</t>
  </si>
  <si>
    <t>劉芳廷</t>
  </si>
  <si>
    <t>邱雨蔚</t>
  </si>
  <si>
    <t>郭家維</t>
  </si>
  <si>
    <t>銅級</t>
  </si>
  <si>
    <t>高琦茗</t>
  </si>
  <si>
    <t>石佳穎</t>
  </si>
  <si>
    <t>林瑞獻</t>
  </si>
  <si>
    <t>石頭</t>
  </si>
  <si>
    <t>郭紳鴻</t>
  </si>
  <si>
    <t>彥州</t>
  </si>
  <si>
    <t>秦曼芯</t>
  </si>
  <si>
    <t>陳亭安</t>
  </si>
  <si>
    <t>黃子珊</t>
  </si>
  <si>
    <t>林庭逸</t>
  </si>
  <si>
    <t>蔡冠廷</t>
  </si>
  <si>
    <t>劉宗翰</t>
  </si>
  <si>
    <t>小石頭</t>
  </si>
  <si>
    <t>總計</t>
  </si>
  <si>
    <t>🏆 基礎獎金工作表   VS   獎金排名</t>
  </si>
  <si>
    <r>
      <rPr>
        <b/>
        <sz val="12"/>
        <color rgb="FF1F4E79"/>
        <rFont val="微軟正黑體"/>
        <family val="2"/>
        <charset val="136"/>
      </rPr>
      <t>📊 KPI</t>
    </r>
    <r>
      <rPr>
        <b/>
        <sz val="12"/>
        <color rgb="FF1F4E79"/>
        <rFont val="Noto Sans CJK SC"/>
        <family val="2"/>
      </rPr>
      <t xml:space="preserve">分數 </t>
    </r>
    <r>
      <rPr>
        <b/>
        <sz val="12"/>
        <color rgb="FF1F4E79"/>
        <rFont val="微軟正黑體"/>
        <family val="2"/>
        <charset val="136"/>
      </rPr>
      <t xml:space="preserve">= </t>
    </r>
    <r>
      <rPr>
        <b/>
        <sz val="12"/>
        <color rgb="FF1F4E79"/>
        <rFont val="Noto Sans CJK SC"/>
        <family val="2"/>
      </rPr>
      <t xml:space="preserve">全項總積分 </t>
    </r>
    <r>
      <rPr>
        <b/>
        <sz val="12"/>
        <color rgb="FF1F4E79"/>
        <rFont val="微軟正黑體"/>
        <family val="2"/>
        <charset val="136"/>
      </rPr>
      <t xml:space="preserve">÷ 130,000 |            📊 </t>
    </r>
    <r>
      <rPr>
        <b/>
        <sz val="12"/>
        <color rgb="FF1F4E79"/>
        <rFont val="Noto Sans CJK SC"/>
        <family val="2"/>
      </rPr>
      <t>積分倍數：</t>
    </r>
    <r>
      <rPr>
        <b/>
        <sz val="12"/>
        <color rgb="FF1F4E79"/>
        <rFont val="微軟正黑體"/>
        <family val="2"/>
        <charset val="136"/>
      </rPr>
      <t>AQ×25</t>
    </r>
    <r>
      <rPr>
        <b/>
        <sz val="12"/>
        <color rgb="FF1F4E79"/>
        <rFont val="Noto Sans CJK SC"/>
        <family val="2"/>
      </rPr>
      <t xml:space="preserve">倍     </t>
    </r>
    <r>
      <rPr>
        <b/>
        <sz val="12"/>
        <color rgb="FF1F4E79"/>
        <rFont val="微軟正黑體"/>
        <family val="2"/>
        <charset val="136"/>
      </rPr>
      <t>RT×30</t>
    </r>
    <r>
      <rPr>
        <b/>
        <sz val="12"/>
        <color rgb="FF1F4E79"/>
        <rFont val="Noto Sans CJK SC"/>
        <family val="2"/>
      </rPr>
      <t>倍        手機</t>
    </r>
    <r>
      <rPr>
        <b/>
        <sz val="12"/>
        <color rgb="FF1F4E79"/>
        <rFont val="微軟正黑體"/>
        <family val="2"/>
        <charset val="136"/>
      </rPr>
      <t>×15</t>
    </r>
    <r>
      <rPr>
        <b/>
        <sz val="12"/>
        <color rgb="FF1F4E79"/>
        <rFont val="Noto Sans CJK SC"/>
        <family val="2"/>
      </rPr>
      <t xml:space="preserve">倍              </t>
    </r>
    <r>
      <rPr>
        <b/>
        <sz val="12"/>
        <color rgb="FF1F4E79"/>
        <rFont val="微軟正黑體"/>
        <family val="2"/>
        <charset val="136"/>
      </rPr>
      <t xml:space="preserve">|        </t>
    </r>
    <r>
      <rPr>
        <b/>
        <sz val="12"/>
        <color rgb="FF1F4E79"/>
        <rFont val="Noto Sans CJK SC"/>
        <family val="2"/>
      </rPr>
      <t xml:space="preserve">排名高 </t>
    </r>
    <r>
      <rPr>
        <b/>
        <sz val="12"/>
        <color rgb="FF1F4E79"/>
        <rFont val="微軟正黑體"/>
        <family val="2"/>
        <charset val="136"/>
      </rPr>
      <t xml:space="preserve">= </t>
    </r>
    <r>
      <rPr>
        <b/>
        <sz val="12"/>
        <color rgb="FF1F4E79"/>
        <rFont val="Noto Sans CJK SC"/>
        <family val="2"/>
      </rPr>
      <t>貢獻度高！</t>
    </r>
  </si>
  <si>
    <t>📋 員工資訊</t>
  </si>
  <si>
    <r>
      <rPr>
        <b/>
        <sz val="10"/>
        <color rgb="FFFFFFFF"/>
        <rFont val="微軟正黑體"/>
        <family val="2"/>
        <charset val="136"/>
      </rPr>
      <t>🎯 AQ</t>
    </r>
    <r>
      <rPr>
        <b/>
        <sz val="10"/>
        <color rgb="FFFFFFFF"/>
        <rFont val="Noto Sans CJK SC"/>
        <family val="2"/>
      </rPr>
      <t>積分</t>
    </r>
    <r>
      <rPr>
        <b/>
        <sz val="10"/>
        <color rgb="FFFFFFFF"/>
        <rFont val="微軟正黑體"/>
        <family val="2"/>
        <charset val="136"/>
      </rPr>
      <t>(×10)</t>
    </r>
  </si>
  <si>
    <r>
      <rPr>
        <b/>
        <sz val="10"/>
        <color rgb="FFFFFFFF"/>
        <rFont val="微軟正黑體"/>
        <family val="2"/>
        <charset val="136"/>
      </rPr>
      <t>📊 RT</t>
    </r>
    <r>
      <rPr>
        <b/>
        <sz val="10"/>
        <color rgb="FFFFFFFF"/>
        <rFont val="Noto Sans CJK SC"/>
        <family val="2"/>
      </rPr>
      <t>積分</t>
    </r>
    <r>
      <rPr>
        <b/>
        <sz val="10"/>
        <color rgb="FFFFFFFF"/>
        <rFont val="微軟正黑體"/>
        <family val="2"/>
        <charset val="136"/>
      </rPr>
      <t>(×20)</t>
    </r>
  </si>
  <si>
    <t>💰 其他積分</t>
  </si>
  <si>
    <r>
      <rPr>
        <b/>
        <sz val="10"/>
        <color rgb="FFFFFFFF"/>
        <rFont val="微軟正黑體"/>
        <family val="2"/>
        <charset val="136"/>
      </rPr>
      <t>🏅 KPI</t>
    </r>
    <r>
      <rPr>
        <b/>
        <sz val="10"/>
        <color rgb="FFFFFFFF"/>
        <rFont val="Noto Sans CJK SC"/>
        <family val="2"/>
      </rPr>
      <t>排名結果</t>
    </r>
  </si>
  <si>
    <r>
      <rPr>
        <b/>
        <sz val="11"/>
        <color rgb="FFFFFFFF"/>
        <rFont val="微軟正黑體"/>
        <family val="2"/>
        <charset val="136"/>
      </rPr>
      <t>AQ</t>
    </r>
    <r>
      <rPr>
        <b/>
        <sz val="11"/>
        <color rgb="FFFFFFFF"/>
        <rFont val="Noto Sans CJK SC"/>
        <family val="2"/>
      </rPr>
      <t>獎金</t>
    </r>
  </si>
  <si>
    <r>
      <rPr>
        <b/>
        <sz val="11"/>
        <color rgb="FFFFFFFF"/>
        <rFont val="微軟正黑體"/>
        <family val="2"/>
        <charset val="136"/>
      </rPr>
      <t>AQ</t>
    </r>
    <r>
      <rPr>
        <b/>
        <sz val="11"/>
        <color rgb="FFFFFFFF"/>
        <rFont val="Noto Sans CJK SC"/>
        <family val="2"/>
      </rPr>
      <t xml:space="preserve">積分
</t>
    </r>
    <r>
      <rPr>
        <b/>
        <sz val="11"/>
        <color rgb="FFFFFFFF"/>
        <rFont val="微軟正黑體"/>
        <family val="2"/>
        <charset val="136"/>
      </rPr>
      <t>(×25</t>
    </r>
    <r>
      <rPr>
        <b/>
        <sz val="11"/>
        <color rgb="FFFFFFFF"/>
        <rFont val="Noto Sans CJK SC"/>
        <family val="2"/>
      </rPr>
      <t>倍</t>
    </r>
    <r>
      <rPr>
        <b/>
        <sz val="11"/>
        <color rgb="FFFFFFFF"/>
        <rFont val="微軟正黑體"/>
        <family val="2"/>
        <charset val="136"/>
      </rPr>
      <t>)</t>
    </r>
  </si>
  <si>
    <t>AQ999+</t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</si>
  <si>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 xml:space="preserve">升轉
</t>
    </r>
    <r>
      <rPr>
        <b/>
        <sz val="11"/>
        <color rgb="FFFFFFFF"/>
        <rFont val="微軟正黑體"/>
        <family val="2"/>
        <charset val="136"/>
      </rPr>
      <t>(100</t>
    </r>
    <r>
      <rPr>
        <b/>
        <sz val="11"/>
        <color rgb="FFFFFFFF"/>
        <rFont val="Noto Sans CJK SC"/>
        <family val="2"/>
      </rPr>
      <t>元</t>
    </r>
    <r>
      <rPr>
        <b/>
        <sz val="11"/>
        <color rgb="FFFFFFFF"/>
        <rFont val="微軟正黑體"/>
        <family val="2"/>
        <charset val="136"/>
      </rPr>
      <t>/</t>
    </r>
    <r>
      <rPr>
        <b/>
        <sz val="11"/>
        <color rgb="FFFFFFFF"/>
        <rFont val="Noto Sans CJK SC"/>
        <family val="2"/>
      </rPr>
      <t>件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</si>
  <si>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微軟正黑體"/>
        <family val="2"/>
        <charset val="136"/>
      </rPr>
      <t>RT1399
(100</t>
    </r>
    <r>
      <rPr>
        <b/>
        <sz val="11"/>
        <color rgb="FFFFFFFF"/>
        <rFont val="Noto Sans CJK SC"/>
        <family val="2"/>
      </rPr>
      <t>元</t>
    </r>
    <r>
      <rPr>
        <b/>
        <sz val="11"/>
        <color rgb="FFFFFFFF"/>
        <rFont val="微軟正黑體"/>
        <family val="2"/>
        <charset val="136"/>
      </rPr>
      <t>/</t>
    </r>
    <r>
      <rPr>
        <b/>
        <sz val="11"/>
        <color rgb="FFFFFFFF"/>
        <rFont val="Noto Sans CJK SC"/>
        <family val="2"/>
      </rPr>
      <t>件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</si>
  <si>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Noto Sans CJK SC"/>
        <family val="2"/>
      </rPr>
      <t xml:space="preserve">特維
</t>
    </r>
    <r>
      <rPr>
        <b/>
        <sz val="11"/>
        <color rgb="FFFFFFFF"/>
        <rFont val="微軟正黑體"/>
        <family val="2"/>
        <charset val="136"/>
      </rPr>
      <t>(100</t>
    </r>
    <r>
      <rPr>
        <b/>
        <sz val="11"/>
        <color rgb="FFFFFFFF"/>
        <rFont val="Noto Sans CJK SC"/>
        <family val="2"/>
      </rPr>
      <t>元</t>
    </r>
    <r>
      <rPr>
        <b/>
        <sz val="11"/>
        <color rgb="FFFFFFFF"/>
        <rFont val="微軟正黑體"/>
        <family val="2"/>
        <charset val="136"/>
      </rPr>
      <t>/</t>
    </r>
    <r>
      <rPr>
        <b/>
        <sz val="11"/>
        <color rgb="FFFFFFFF"/>
        <rFont val="Noto Sans CJK SC"/>
        <family val="2"/>
      </rPr>
      <t>件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</si>
  <si>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 xml:space="preserve">積分
</t>
    </r>
    <r>
      <rPr>
        <b/>
        <sz val="11"/>
        <color rgb="FFFFFFFF"/>
        <rFont val="微軟正黑體"/>
        <family val="2"/>
        <charset val="136"/>
      </rPr>
      <t>(×30</t>
    </r>
    <r>
      <rPr>
        <b/>
        <sz val="11"/>
        <color rgb="FFFFFFFF"/>
        <rFont val="Noto Sans CJK SC"/>
        <family val="2"/>
      </rPr>
      <t>倍</t>
    </r>
    <r>
      <rPr>
        <b/>
        <sz val="11"/>
        <color rgb="FFFFFFFF"/>
        <rFont val="微軟正黑體"/>
        <family val="2"/>
        <charset val="136"/>
      </rPr>
      <t>)</t>
    </r>
  </si>
  <si>
    <t>OP案(限5件)
每件500元</t>
  </si>
  <si>
    <t>寬頻OP積分(×10倍)</t>
  </si>
  <si>
    <t>你的總積分</t>
  </si>
  <si>
    <r>
      <rPr>
        <b/>
        <sz val="11"/>
        <color rgb="FFFFFFFF"/>
        <rFont val="微軟正黑體"/>
        <family val="2"/>
        <charset val="136"/>
      </rPr>
      <t>KPI</t>
    </r>
    <r>
      <rPr>
        <b/>
        <sz val="11"/>
        <color rgb="FFFFFFFF"/>
        <rFont val="Noto Sans CJK SC"/>
        <family val="2"/>
      </rPr>
      <t>分數</t>
    </r>
  </si>
  <si>
    <t>達成狀態</t>
  </si>
  <si>
    <t>合計</t>
  </si>
  <si>
    <t>🏆 毛利分潤獎金</t>
  </si>
  <si>
    <t>週期</t>
  </si>
  <si>
    <t xml:space="preserve">店點               </t>
  </si>
  <si>
    <t>積分*20倍</t>
  </si>
  <si>
    <t>鼓勵獎金3,000元</t>
  </si>
  <si>
    <t>實際毛利</t>
  </si>
  <si>
    <t>預估月底毛利</t>
  </si>
  <si>
    <t>預估分潤獎金</t>
  </si>
  <si>
    <r>
      <rPr>
        <b/>
        <sz val="14"/>
        <color theme="0"/>
        <rFont val="微軟正黑體"/>
        <family val="2"/>
        <charset val="136"/>
      </rPr>
      <t>3</t>
    </r>
    <r>
      <rPr>
        <b/>
        <sz val="14"/>
        <color theme="0"/>
        <rFont val="Noto Sans CJK SC"/>
        <family val="2"/>
      </rPr>
      <t>階段高峰獎金</t>
    </r>
  </si>
  <si>
    <t>責任毛利</t>
  </si>
  <si>
    <t>鼓勵獎金</t>
  </si>
  <si>
    <r>
      <rPr>
        <b/>
        <sz val="13"/>
        <color theme="0"/>
        <rFont val="微軟正黑體"/>
        <family val="2"/>
        <charset val="136"/>
      </rPr>
      <t>12</t>
    </r>
    <r>
      <rPr>
        <b/>
        <sz val="13"/>
        <color theme="0"/>
        <rFont val="Noto Sans CJK SC"/>
        <family val="2"/>
      </rPr>
      <t>萬</t>
    </r>
  </si>
  <si>
    <r>
      <rPr>
        <b/>
        <sz val="13"/>
        <color theme="0"/>
        <rFont val="微軟正黑體"/>
        <family val="2"/>
        <charset val="136"/>
      </rPr>
      <t>14</t>
    </r>
    <r>
      <rPr>
        <b/>
        <sz val="13"/>
        <color theme="0"/>
        <rFont val="Noto Sans CJK SC"/>
        <family val="2"/>
      </rPr>
      <t>萬</t>
    </r>
  </si>
  <si>
    <r>
      <rPr>
        <b/>
        <sz val="13"/>
        <color theme="0"/>
        <rFont val="微軟正黑體"/>
        <family val="2"/>
        <charset val="136"/>
      </rPr>
      <t>20</t>
    </r>
    <r>
      <rPr>
        <b/>
        <sz val="13"/>
        <color theme="0"/>
        <rFont val="Noto Sans CJK SC"/>
        <family val="2"/>
      </rPr>
      <t>萬</t>
    </r>
  </si>
  <si>
    <t>總毛利</t>
  </si>
  <si>
    <t>石頭級</t>
  </si>
  <si>
    <t>倚盟各職級  毛利對照  抽成表</t>
  </si>
  <si>
    <t>毛利門檻</t>
  </si>
  <si>
    <t>黃金級/金級/白金級</t>
  </si>
  <si>
    <t>職  級</t>
  </si>
  <si>
    <t>職級責任目標</t>
  </si>
  <si>
    <t>毛利分潤方式</t>
  </si>
  <si>
    <r>
      <rPr>
        <b/>
        <sz val="11"/>
        <color theme="1"/>
        <rFont val="微軟正黑體"/>
        <family val="2"/>
        <charset val="136"/>
      </rPr>
      <t>(A)</t>
    </r>
    <r>
      <rPr>
        <b/>
        <sz val="11"/>
        <color theme="1"/>
        <rFont val="Noto Sans CJK SC"/>
        <family val="2"/>
      </rPr>
      <t xml:space="preserve">達成職級責任目標 </t>
    </r>
    <r>
      <rPr>
        <b/>
        <sz val="11"/>
        <color theme="1"/>
        <rFont val="微軟正黑體"/>
        <family val="2"/>
        <charset val="136"/>
      </rPr>
      <t>+$5,000 + X%</t>
    </r>
    <r>
      <rPr>
        <b/>
        <sz val="11"/>
        <color theme="1"/>
        <rFont val="Noto Sans CJK SC"/>
        <family val="2"/>
      </rPr>
      <t xml:space="preserve">分潤抽成 </t>
    </r>
    <r>
      <rPr>
        <b/>
        <sz val="11"/>
        <color theme="1"/>
        <rFont val="微軟正黑體"/>
        <family val="2"/>
        <charset val="136"/>
      </rPr>
      <t xml:space="preserve">+ </t>
    </r>
    <r>
      <rPr>
        <b/>
        <sz val="11"/>
        <color theme="1"/>
        <rFont val="Noto Sans CJK SC"/>
        <family val="2"/>
      </rPr>
      <t xml:space="preserve">高峰獎金 </t>
    </r>
    <r>
      <rPr>
        <b/>
        <sz val="11"/>
        <color theme="1"/>
        <rFont val="微軟正黑體"/>
        <family val="2"/>
        <charset val="136"/>
      </rPr>
      <t xml:space="preserve">3,000 + </t>
    </r>
    <r>
      <rPr>
        <b/>
        <sz val="11"/>
        <color theme="1"/>
        <rFont val="Noto Sans CJK SC"/>
        <family val="2"/>
      </rPr>
      <t xml:space="preserve">顛峰獎金 </t>
    </r>
    <r>
      <rPr>
        <b/>
        <sz val="11"/>
        <color theme="1"/>
        <rFont val="微軟正黑體"/>
        <family val="2"/>
        <charset val="136"/>
      </rPr>
      <t xml:space="preserve">3,000 + </t>
    </r>
    <r>
      <rPr>
        <b/>
        <sz val="11"/>
        <color theme="1"/>
        <rFont val="Noto Sans CJK SC"/>
        <family val="2"/>
      </rPr>
      <t xml:space="preserve">聖母峰獎金 </t>
    </r>
    <r>
      <rPr>
        <b/>
        <sz val="11"/>
        <color theme="1"/>
        <rFont val="微軟正黑體"/>
        <family val="2"/>
        <charset val="136"/>
      </rPr>
      <t>3,000</t>
    </r>
  </si>
  <si>
    <t>毛利合計</t>
  </si>
  <si>
    <t>舉例說明</t>
  </si>
  <si>
    <t xml:space="preserve">銀級顧問 </t>
  </si>
  <si>
    <r>
      <rPr>
        <sz val="11"/>
        <color theme="1"/>
        <rFont val="Noto Sans CJK SC"/>
        <family val="2"/>
      </rPr>
      <t xml:space="preserve">銀級・月總毛利 </t>
    </r>
    <r>
      <rPr>
        <sz val="11"/>
        <color theme="1"/>
        <rFont val="微軟正黑體"/>
        <family val="2"/>
        <charset val="136"/>
      </rPr>
      <t xml:space="preserve">$135,000 </t>
    </r>
    <r>
      <rPr>
        <sz val="11"/>
        <color theme="1"/>
        <rFont val="Noto Sans CJK SC"/>
        <family val="2"/>
      </rPr>
      <t xml:space="preserve">可拿到的分潤獎金 </t>
    </r>
    <r>
      <rPr>
        <sz val="11"/>
        <color theme="1"/>
        <rFont val="微軟正黑體"/>
        <family val="2"/>
        <charset val="136"/>
      </rPr>
      <t xml:space="preserve">= </t>
    </r>
    <r>
      <rPr>
        <sz val="11"/>
        <color theme="1"/>
        <rFont val="Noto Sans CJK SC"/>
        <family val="2"/>
      </rPr>
      <t xml:space="preserve">抽成 </t>
    </r>
    <r>
      <rPr>
        <sz val="11"/>
        <color theme="1"/>
        <rFont val="微軟正黑體"/>
        <family val="2"/>
        <charset val="136"/>
      </rPr>
      <t xml:space="preserve">135,000×5.5% + </t>
    </r>
    <r>
      <rPr>
        <sz val="11"/>
        <color theme="1"/>
        <rFont val="Noto Sans CJK SC"/>
        <family val="2"/>
      </rPr>
      <t xml:space="preserve">鼓勵 </t>
    </r>
    <r>
      <rPr>
        <sz val="11"/>
        <color theme="1"/>
        <rFont val="微軟正黑體"/>
        <family val="2"/>
        <charset val="136"/>
      </rPr>
      <t xml:space="preserve">5,000 + </t>
    </r>
    <r>
      <rPr>
        <sz val="11"/>
        <color theme="1"/>
        <rFont val="Noto Sans CJK SC"/>
        <family val="2"/>
      </rPr>
      <t xml:space="preserve">高峰 </t>
    </r>
    <r>
      <rPr>
        <sz val="11"/>
        <color theme="1"/>
        <rFont val="微軟正黑體"/>
        <family val="2"/>
        <charset val="136"/>
      </rPr>
      <t>3,000 = 7,425 + 5,000 + 3,000 = $15,425</t>
    </r>
  </si>
  <si>
    <t>🏆  追星獎  月底彙整  —  星數與獎金自動加總</t>
  </si>
  <si>
    <t>📅 在下方黃格填入【本月起訖日期】，所有人的總星數與追星獎金即自動更新。</t>
  </si>
  <si>
    <t>📅 本月起訖</t>
  </si>
  <si>
    <t>月份起始</t>
  </si>
  <si>
    <t>月份結束</t>
  </si>
  <si>
    <t>← 每月改這兩格</t>
  </si>
  <si>
    <t>線性推估</t>
  </si>
  <si>
    <t>台數
合計</t>
  </si>
  <si>
    <t>總星數
（自動）</t>
  </si>
  <si>
    <t>預估獎金</t>
  </si>
  <si>
    <t>距下一檔</t>
  </si>
  <si>
    <t>進度</t>
  </si>
  <si>
    <t>⬛⬛⬛▢▢</t>
  </si>
  <si>
    <t>全壘打獎金進度追蹤系統</t>
  </si>
  <si>
    <t>📅 動態預估參數</t>
  </si>
  <si>
    <t>📊 即時追蹤全壘打獎金得分，不用等到月底才知道成績！</t>
  </si>
  <si>
    <t>業績週期開始:</t>
  </si>
  <si>
    <t>今日日期:</t>
  </si>
  <si>
    <t>總分與獎金</t>
  </si>
  <si>
    <r>
      <rPr>
        <b/>
        <sz val="14"/>
        <color theme="1"/>
        <rFont val="微軟正黑體"/>
        <family val="2"/>
        <charset val="136"/>
      </rPr>
      <t>RT</t>
    </r>
    <r>
      <rPr>
        <b/>
        <sz val="14"/>
        <color theme="1"/>
        <rFont val="Noto Sans CJK SC"/>
        <family val="2"/>
      </rPr>
      <t xml:space="preserve">點數評分 </t>
    </r>
    <r>
      <rPr>
        <b/>
        <sz val="14"/>
        <color theme="1"/>
        <rFont val="微軟正黑體"/>
        <family val="2"/>
        <charset val="136"/>
      </rPr>
      <t>(</t>
    </r>
    <r>
      <rPr>
        <b/>
        <sz val="14"/>
        <color theme="1"/>
        <rFont val="Noto Sans CJK SC"/>
        <family val="2"/>
      </rPr>
      <t>最高</t>
    </r>
    <r>
      <rPr>
        <b/>
        <sz val="14"/>
        <color theme="1"/>
        <rFont val="微軟正黑體"/>
        <family val="2"/>
        <charset val="136"/>
      </rPr>
      <t>4</t>
    </r>
    <r>
      <rPr>
        <b/>
        <sz val="14"/>
        <color theme="1"/>
        <rFont val="Noto Sans CJK SC"/>
        <family val="2"/>
      </rPr>
      <t>分</t>
    </r>
    <r>
      <rPr>
        <b/>
        <sz val="14"/>
        <color theme="1"/>
        <rFont val="微軟正黑體"/>
        <family val="2"/>
        <charset val="136"/>
      </rPr>
      <t>)</t>
    </r>
  </si>
  <si>
    <r>
      <rPr>
        <b/>
        <sz val="14"/>
        <color theme="1"/>
        <rFont val="微軟正黑體"/>
        <family val="2"/>
        <charset val="136"/>
      </rPr>
      <t>RT</t>
    </r>
    <r>
      <rPr>
        <b/>
        <sz val="14"/>
        <color theme="1"/>
        <rFont val="Noto Sans CJK SC"/>
        <family val="2"/>
      </rPr>
      <t xml:space="preserve">件數評分 </t>
    </r>
    <r>
      <rPr>
        <b/>
        <sz val="14"/>
        <color theme="1"/>
        <rFont val="微軟正黑體"/>
        <family val="2"/>
        <charset val="136"/>
      </rPr>
      <t>(</t>
    </r>
    <r>
      <rPr>
        <b/>
        <sz val="14"/>
        <color theme="1"/>
        <rFont val="Noto Sans CJK SC"/>
        <family val="2"/>
      </rPr>
      <t>最高</t>
    </r>
    <r>
      <rPr>
        <b/>
        <sz val="14"/>
        <color theme="1"/>
        <rFont val="微軟正黑體"/>
        <family val="2"/>
        <charset val="136"/>
      </rPr>
      <t>4</t>
    </r>
    <r>
      <rPr>
        <b/>
        <sz val="14"/>
        <color theme="1"/>
        <rFont val="Noto Sans CJK SC"/>
        <family val="2"/>
      </rPr>
      <t>分</t>
    </r>
    <r>
      <rPr>
        <b/>
        <sz val="14"/>
        <color theme="1"/>
        <rFont val="微軟正黑體"/>
        <family val="2"/>
        <charset val="136"/>
      </rPr>
      <t>)</t>
    </r>
  </si>
  <si>
    <r>
      <rPr>
        <b/>
        <sz val="14"/>
        <color theme="0"/>
        <rFont val="微軟正黑體"/>
        <family val="2"/>
        <charset val="136"/>
      </rPr>
      <t>RT</t>
    </r>
    <r>
      <rPr>
        <b/>
        <sz val="14"/>
        <color theme="0"/>
        <rFont val="Noto Sans CJK SC"/>
        <family val="2"/>
      </rPr>
      <t xml:space="preserve">升轉
</t>
    </r>
    <r>
      <rPr>
        <b/>
        <sz val="14"/>
        <color theme="0"/>
        <rFont val="微軟正黑體"/>
        <family val="2"/>
        <charset val="136"/>
      </rPr>
      <t>(2</t>
    </r>
    <r>
      <rPr>
        <b/>
        <sz val="14"/>
        <color theme="0"/>
        <rFont val="Noto Sans CJK SC"/>
        <family val="2"/>
      </rPr>
      <t>分</t>
    </r>
    <r>
      <rPr>
        <b/>
        <sz val="14"/>
        <color theme="0"/>
        <rFont val="微軟正黑體"/>
        <family val="2"/>
        <charset val="136"/>
      </rPr>
      <t>)</t>
    </r>
  </si>
  <si>
    <r>
      <rPr>
        <b/>
        <sz val="14"/>
        <color theme="0"/>
        <rFont val="微軟正黑體"/>
        <family val="2"/>
        <charset val="136"/>
      </rPr>
      <t>RT1399
(2</t>
    </r>
    <r>
      <rPr>
        <b/>
        <sz val="14"/>
        <color theme="0"/>
        <rFont val="Noto Sans CJK SC"/>
        <family val="2"/>
      </rPr>
      <t>分</t>
    </r>
    <r>
      <rPr>
        <b/>
        <sz val="14"/>
        <color theme="0"/>
        <rFont val="微軟正黑體"/>
        <family val="2"/>
        <charset val="136"/>
      </rPr>
      <t>)</t>
    </r>
  </si>
  <si>
    <t>特維
(2分)</t>
  </si>
  <si>
    <r>
      <rPr>
        <b/>
        <sz val="14"/>
        <color theme="0"/>
        <rFont val="微軟正黑體"/>
        <family val="2"/>
        <charset val="136"/>
      </rPr>
      <t>Device(3</t>
    </r>
    <r>
      <rPr>
        <b/>
        <sz val="14"/>
        <color theme="0"/>
        <rFont val="Noto Sans CJK SC"/>
        <family val="2"/>
      </rPr>
      <t>分</t>
    </r>
    <r>
      <rPr>
        <b/>
        <sz val="14"/>
        <color theme="0"/>
        <rFont val="微軟正黑體"/>
        <family val="2"/>
        <charset val="136"/>
      </rPr>
      <t>)</t>
    </r>
  </si>
  <si>
    <t>手機保險(3分)</t>
  </si>
  <si>
    <t>已過天數:</t>
  </si>
  <si>
    <t>月底
全壘打分數</t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</si>
  <si>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點數
目標</t>
    </r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</si>
  <si>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點數
實際</t>
    </r>
  </si>
  <si>
    <t>預估
得分</t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</si>
  <si>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件數
目標</t>
    </r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</si>
  <si>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件數
實際</t>
    </r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</si>
  <si>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升轉
目標</t>
    </r>
  </si>
  <si>
    <r>
      <rPr>
        <sz val="11"/>
        <color theme="1"/>
        <rFont val="微軟正黑體"/>
        <family val="2"/>
        <charset val="136"/>
      </rPr>
      <t>RT</t>
    </r>
    <r>
      <rPr>
        <sz val="11"/>
        <color theme="1"/>
        <rFont val="Noto Sans CJK SC"/>
        <family val="2"/>
      </rPr>
      <t>升轉
實際</t>
    </r>
  </si>
  <si>
    <r>
      <rPr>
        <sz val="11"/>
        <color theme="1"/>
        <rFont val="微軟正黑體"/>
        <family val="2"/>
        <charset val="136"/>
      </rPr>
      <t xml:space="preserve">RT1399
</t>
    </r>
    <r>
      <rPr>
        <sz val="11"/>
        <color theme="1"/>
        <rFont val="Noto Sans CJK SC"/>
        <family val="2"/>
      </rPr>
      <t>目標</t>
    </r>
  </si>
  <si>
    <r>
      <rPr>
        <sz val="11"/>
        <color theme="1"/>
        <rFont val="微軟正黑體"/>
        <family val="2"/>
        <charset val="136"/>
      </rPr>
      <t xml:space="preserve">RT1399
</t>
    </r>
    <r>
      <rPr>
        <sz val="11"/>
        <color theme="1"/>
        <rFont val="Noto Sans CJK SC"/>
        <family val="2"/>
      </rPr>
      <t>實際</t>
    </r>
  </si>
  <si>
    <t>特維
目標</t>
  </si>
  <si>
    <t>特維
實際</t>
  </si>
  <si>
    <r>
      <rPr>
        <sz val="11"/>
        <color theme="1"/>
        <rFont val="微軟正黑體"/>
        <family val="2"/>
        <charset val="136"/>
      </rPr>
      <t xml:space="preserve">Device
</t>
    </r>
    <r>
      <rPr>
        <sz val="11"/>
        <color theme="1"/>
        <rFont val="Noto Sans CJK SC"/>
        <family val="2"/>
      </rPr>
      <t>目標</t>
    </r>
  </si>
  <si>
    <r>
      <rPr>
        <sz val="11"/>
        <color theme="1"/>
        <rFont val="微軟正黑體"/>
        <family val="2"/>
        <charset val="136"/>
      </rPr>
      <t xml:space="preserve">Device
</t>
    </r>
    <r>
      <rPr>
        <sz val="11"/>
        <color theme="1"/>
        <rFont val="Noto Sans CJK SC"/>
        <family val="2"/>
      </rPr>
      <t>實際</t>
    </r>
  </si>
  <si>
    <t>手機保險
目標</t>
  </si>
  <si>
    <t>手機保險
實際</t>
  </si>
  <si>
    <t>預估總分</t>
  </si>
  <si>
    <t>總天數:</t>
  </si>
  <si>
    <t>🏆全壘打</t>
  </si>
  <si>
    <t>超級明星</t>
  </si>
  <si>
    <t>加油</t>
  </si>
  <si>
    <t>明星</t>
  </si>
  <si>
    <t>良好</t>
  </si>
  <si>
    <t>合格</t>
  </si>
  <si>
    <t>努力</t>
  </si>
  <si>
    <t>優秀</t>
  </si>
  <si>
    <t>未達標</t>
  </si>
  <si>
    <t>💡 使用說明</t>
  </si>
  <si>
    <r>
      <rPr>
        <sz val="12"/>
        <color theme="1"/>
        <rFont val="微軟正黑體"/>
        <family val="2"/>
        <charset val="136"/>
      </rPr>
      <t xml:space="preserve">1. </t>
    </r>
    <r>
      <rPr>
        <sz val="12"/>
        <color theme="1"/>
        <rFont val="Noto Sans CJK SC"/>
        <family val="2"/>
      </rPr>
      <t>本表自動從【你的全部獎金】工作表讀取實際業績數據</t>
    </r>
  </si>
  <si>
    <r>
      <rPr>
        <sz val="12"/>
        <color theme="1"/>
        <rFont val="微軟正黑體"/>
        <family val="2"/>
        <charset val="136"/>
      </rPr>
      <t xml:space="preserve">2. </t>
    </r>
    <r>
      <rPr>
        <sz val="12"/>
        <color theme="1"/>
        <rFont val="Noto Sans CJK SC"/>
        <family val="2"/>
      </rPr>
      <t>總分由三大部分組成：</t>
    </r>
    <r>
      <rPr>
        <sz val="12"/>
        <color theme="1"/>
        <rFont val="微軟正黑體"/>
        <family val="2"/>
        <charset val="136"/>
      </rPr>
      <t>RT</t>
    </r>
    <r>
      <rPr>
        <sz val="12"/>
        <color theme="1"/>
        <rFont val="Noto Sans CJK SC"/>
        <family val="2"/>
      </rPr>
      <t>點數評分</t>
    </r>
    <r>
      <rPr>
        <sz val="12"/>
        <color theme="1"/>
        <rFont val="微軟正黑體"/>
        <family val="2"/>
        <charset val="136"/>
      </rPr>
      <t>(4</t>
    </r>
    <r>
      <rPr>
        <sz val="12"/>
        <color theme="1"/>
        <rFont val="Noto Sans CJK SC"/>
        <family val="2"/>
      </rPr>
      <t>分</t>
    </r>
    <r>
      <rPr>
        <sz val="12"/>
        <color theme="1"/>
        <rFont val="微軟正黑體"/>
        <family val="2"/>
        <charset val="136"/>
      </rPr>
      <t>) + RT</t>
    </r>
    <r>
      <rPr>
        <sz val="12"/>
        <color theme="1"/>
        <rFont val="Noto Sans CJK SC"/>
        <family val="2"/>
      </rPr>
      <t>件數評分</t>
    </r>
    <r>
      <rPr>
        <sz val="12"/>
        <color theme="1"/>
        <rFont val="微軟正黑體"/>
        <family val="2"/>
        <charset val="136"/>
      </rPr>
      <t>(3</t>
    </r>
    <r>
      <rPr>
        <sz val="12"/>
        <color theme="1"/>
        <rFont val="Noto Sans CJK SC"/>
        <family val="2"/>
      </rPr>
      <t>分</t>
    </r>
    <r>
      <rPr>
        <sz val="12"/>
        <color theme="1"/>
        <rFont val="微軟正黑體"/>
        <family val="2"/>
        <charset val="136"/>
      </rPr>
      <t xml:space="preserve">) + </t>
    </r>
    <r>
      <rPr>
        <sz val="12"/>
        <color theme="1"/>
        <rFont val="Noto Sans CJK SC"/>
        <family val="2"/>
      </rPr>
      <t>重點業務評分</t>
    </r>
    <r>
      <rPr>
        <sz val="12"/>
        <color theme="1"/>
        <rFont val="微軟正黑體"/>
        <family val="2"/>
        <charset val="136"/>
      </rPr>
      <t>(11</t>
    </r>
    <r>
      <rPr>
        <sz val="12"/>
        <color theme="1"/>
        <rFont val="Noto Sans CJK SC"/>
        <family val="2"/>
      </rPr>
      <t>分</t>
    </r>
    <r>
      <rPr>
        <sz val="12"/>
        <color theme="1"/>
        <rFont val="微軟正黑體"/>
        <family val="2"/>
        <charset val="136"/>
      </rPr>
      <t>) = 20</t>
    </r>
    <r>
      <rPr>
        <sz val="12"/>
        <color theme="1"/>
        <rFont val="Noto Sans CJK SC"/>
        <family val="2"/>
      </rPr>
      <t>分</t>
    </r>
  </si>
  <si>
    <r>
      <rPr>
        <sz val="12"/>
        <color theme="1"/>
        <rFont val="微軟正黑體"/>
        <family val="2"/>
        <charset val="136"/>
      </rPr>
      <t xml:space="preserve">3. </t>
    </r>
    <r>
      <rPr>
        <sz val="12"/>
        <color theme="1"/>
        <rFont val="Noto Sans CJK SC"/>
        <family val="2"/>
      </rPr>
      <t>預估獎金根據總分自動查詢【全壘打獎金】對照表</t>
    </r>
  </si>
  <si>
    <r>
      <rPr>
        <sz val="12"/>
        <color theme="1"/>
        <rFont val="微軟正黑體"/>
        <family val="2"/>
        <charset val="136"/>
      </rPr>
      <t xml:space="preserve">4. </t>
    </r>
    <r>
      <rPr>
        <sz val="12"/>
        <color theme="1"/>
        <rFont val="Noto Sans CJK SC"/>
        <family val="2"/>
      </rPr>
      <t>目標值可根據實際情況在</t>
    </r>
    <r>
      <rPr>
        <sz val="12"/>
        <color theme="1"/>
        <rFont val="微軟正黑體"/>
        <family val="2"/>
        <charset val="136"/>
      </rPr>
      <t>D</t>
    </r>
    <r>
      <rPr>
        <sz val="12"/>
        <color theme="1"/>
        <rFont val="Noto Sans CJK SC"/>
        <family val="2"/>
      </rPr>
      <t>欄和</t>
    </r>
    <r>
      <rPr>
        <sz val="12"/>
        <color theme="1"/>
        <rFont val="微軟正黑體"/>
        <family val="2"/>
        <charset val="136"/>
      </rPr>
      <t>G</t>
    </r>
    <r>
      <rPr>
        <sz val="12"/>
        <color theme="1"/>
        <rFont val="Noto Sans CJK SC"/>
        <family val="2"/>
      </rPr>
      <t>欄調整</t>
    </r>
  </si>
  <si>
    <r>
      <rPr>
        <sz val="12"/>
        <color theme="1"/>
        <rFont val="微軟正黑體"/>
        <family val="2"/>
        <charset val="136"/>
      </rPr>
      <t xml:space="preserve">5. </t>
    </r>
    <r>
      <rPr>
        <sz val="12"/>
        <color theme="1"/>
        <rFont val="Noto Sans CJK SC"/>
        <family val="2"/>
      </rPr>
      <t>每次更新業績後，本表會自動重新計算得分和預估獎金</t>
    </r>
  </si>
  <si>
    <t>⚾ 安打紀錄球版</t>
  </si>
  <si>
    <t>「累積你的安打紀錄，揮出月底全壘打！」</t>
  </si>
  <si>
    <t>📅 場次：</t>
  </si>
  <si>
    <t>📋 手機案/保險  未達-$500       📋  配件/5G     未達各-$500</t>
  </si>
  <si>
    <t>👤 球員</t>
  </si>
  <si>
    <t>🎁 配件
未達-500</t>
  </si>
  <si>
    <r>
      <rPr>
        <b/>
        <sz val="12"/>
        <color rgb="FFFFFFFF"/>
        <rFont val="微軟正黑體"/>
        <family val="2"/>
        <charset val="136"/>
      </rPr>
      <t xml:space="preserve">📶 5G
</t>
    </r>
    <r>
      <rPr>
        <b/>
        <sz val="12"/>
        <color rgb="FFFFFFFF"/>
        <rFont val="Noto Sans CJK SC"/>
        <family val="2"/>
      </rPr>
      <t>未達</t>
    </r>
    <r>
      <rPr>
        <b/>
        <sz val="12"/>
        <color rgb="FFFFFFFF"/>
        <rFont val="微軟正黑體"/>
        <family val="2"/>
        <charset val="136"/>
      </rPr>
      <t>-500</t>
    </r>
  </si>
  <si>
    <t>倚盟任務-舊機回收
未達-500</t>
  </si>
  <si>
    <t>💰 結算安打數</t>
  </si>
  <si>
    <t>目標</t>
  </si>
  <si>
    <t>實際</t>
  </si>
  <si>
    <t>獎扣</t>
  </si>
  <si>
    <t>安打</t>
  </si>
  <si>
    <t>狀態</t>
  </si>
  <si>
    <t>手機案_上目標</t>
  </si>
  <si>
    <t>手機案_下目標</t>
  </si>
  <si>
    <t>保險_上目標</t>
  </si>
  <si>
    <t>保險_下目標</t>
  </si>
  <si>
    <t>配件_上目標</t>
  </si>
  <si>
    <t>配件_下目標</t>
  </si>
  <si>
    <r>
      <rPr>
        <sz val="11"/>
        <color rgb="FFFF0000"/>
        <rFont val="微軟正黑體"/>
        <family val="2"/>
        <charset val="136"/>
      </rPr>
      <t>5G_</t>
    </r>
    <r>
      <rPr>
        <sz val="11"/>
        <color rgb="FFFF0000"/>
        <rFont val="Noto Sans CJK SC"/>
        <family val="2"/>
      </rPr>
      <t>上目標</t>
    </r>
  </si>
  <si>
    <r>
      <rPr>
        <sz val="11"/>
        <color rgb="FFFF0000"/>
        <rFont val="微軟正黑體"/>
        <family val="2"/>
        <charset val="136"/>
      </rPr>
      <t>5G_</t>
    </r>
    <r>
      <rPr>
        <sz val="11"/>
        <color rgb="FFFF0000"/>
        <rFont val="Noto Sans CJK SC"/>
        <family val="2"/>
      </rPr>
      <t>下目標</t>
    </r>
  </si>
  <si>
    <t>📊 團隊累積安打數  朝向全壘打得分 !</t>
  </si>
  <si>
    <t>【獎金單價表】</t>
  </si>
  <si>
    <t>項目</t>
  </si>
  <si>
    <r>
      <rPr>
        <b/>
        <sz val="12"/>
        <color rgb="FFFFFFFF"/>
        <rFont val="微軟正黑體"/>
        <family val="2"/>
        <charset val="136"/>
      </rPr>
      <t>AQ</t>
    </r>
    <r>
      <rPr>
        <b/>
        <sz val="12"/>
        <color rgb="FFFFFFFF"/>
        <rFont val="Noto Sans CJK SC"/>
        <family val="2"/>
      </rPr>
      <t>點數</t>
    </r>
  </si>
  <si>
    <r>
      <rPr>
        <b/>
        <sz val="12"/>
        <color rgb="FFFFFFFF"/>
        <rFont val="微軟正黑體"/>
        <family val="2"/>
        <charset val="136"/>
      </rPr>
      <t>RT</t>
    </r>
    <r>
      <rPr>
        <b/>
        <sz val="12"/>
        <color rgb="FFFFFFFF"/>
        <rFont val="Noto Sans CJK SC"/>
        <family val="2"/>
      </rPr>
      <t>升轉</t>
    </r>
  </si>
  <si>
    <t>RT1399+</t>
  </si>
  <si>
    <t>特維</t>
  </si>
  <si>
    <t>寬頻</t>
  </si>
  <si>
    <t>OP</t>
  </si>
  <si>
    <t>單價</t>
  </si>
  <si>
    <r>
      <rPr>
        <sz val="10"/>
        <rFont val="微軟正黑體"/>
        <family val="2"/>
        <charset val="136"/>
      </rPr>
      <t>$100/</t>
    </r>
    <r>
      <rPr>
        <sz val="10"/>
        <rFont val="Noto Sans CJK SC"/>
        <family val="2"/>
      </rPr>
      <t>點</t>
    </r>
  </si>
  <si>
    <r>
      <rPr>
        <sz val="10"/>
        <rFont val="微軟正黑體"/>
        <family val="2"/>
        <charset val="136"/>
      </rPr>
      <t>$300/</t>
    </r>
    <r>
      <rPr>
        <sz val="10"/>
        <rFont val="Noto Sans CJK SC"/>
        <family val="2"/>
      </rPr>
      <t>件</t>
    </r>
  </si>
  <si>
    <r>
      <rPr>
        <sz val="10"/>
        <rFont val="微軟正黑體"/>
        <family val="2"/>
        <charset val="136"/>
      </rPr>
      <t>$100/</t>
    </r>
    <r>
      <rPr>
        <sz val="10"/>
        <rFont val="Noto Sans CJK SC"/>
        <family val="2"/>
      </rPr>
      <t>件</t>
    </r>
  </si>
  <si>
    <r>
      <rPr>
        <sz val="10"/>
        <rFont val="微軟正黑體"/>
        <family val="2"/>
        <charset val="136"/>
      </rPr>
      <t>$500/</t>
    </r>
    <r>
      <rPr>
        <sz val="10"/>
        <rFont val="Noto Sans CJK SC"/>
        <family val="2"/>
      </rPr>
      <t>點</t>
    </r>
  </si>
  <si>
    <r>
      <rPr>
        <sz val="10"/>
        <rFont val="微軟正黑體"/>
        <family val="2"/>
        <charset val="136"/>
      </rPr>
      <t>$500/</t>
    </r>
    <r>
      <rPr>
        <sz val="10"/>
        <rFont val="Noto Sans CJK SC"/>
        <family val="2"/>
      </rPr>
      <t>件</t>
    </r>
  </si>
  <si>
    <t>限5件</t>
  </si>
  <si>
    <t>【上半場基礎獎金】AQ或RT未達60%→歸零（全員適用）</t>
  </si>
  <si>
    <r>
      <rPr>
        <b/>
        <sz val="10"/>
        <color rgb="FFFFFFFF"/>
        <rFont val="微軟正黑體"/>
        <family val="2"/>
        <charset val="136"/>
      </rPr>
      <t>AQ</t>
    </r>
    <r>
      <rPr>
        <b/>
        <sz val="10"/>
        <color rgb="FFFFFFFF"/>
        <rFont val="Noto Sans CJK SC"/>
        <family val="2"/>
      </rPr>
      <t>達成率</t>
    </r>
  </si>
  <si>
    <r>
      <rPr>
        <b/>
        <sz val="10"/>
        <color rgb="FFFFFFFF"/>
        <rFont val="微軟正黑體"/>
        <family val="2"/>
        <charset val="136"/>
      </rPr>
      <t>RT</t>
    </r>
    <r>
      <rPr>
        <b/>
        <sz val="10"/>
        <color rgb="FFFFFFFF"/>
        <rFont val="Noto Sans CJK SC"/>
        <family val="2"/>
      </rPr>
      <t>達成率</t>
    </r>
  </si>
  <si>
    <r>
      <rPr>
        <b/>
        <sz val="10"/>
        <color rgb="FFFFFFFF"/>
        <rFont val="微軟正黑體"/>
        <family val="2"/>
        <charset val="136"/>
      </rPr>
      <t>AQ</t>
    </r>
    <r>
      <rPr>
        <b/>
        <sz val="10"/>
        <color rgb="FFFFFFFF"/>
        <rFont val="Noto Sans CJK SC"/>
        <family val="2"/>
      </rPr>
      <t>點數</t>
    </r>
  </si>
  <si>
    <t>AQ999</t>
  </si>
  <si>
    <r>
      <rPr>
        <b/>
        <sz val="10"/>
        <color rgb="FFFFFFFF"/>
        <rFont val="微軟正黑體"/>
        <family val="2"/>
        <charset val="136"/>
      </rPr>
      <t>RT</t>
    </r>
    <r>
      <rPr>
        <b/>
        <sz val="10"/>
        <color rgb="FFFFFFFF"/>
        <rFont val="Noto Sans CJK SC"/>
        <family val="2"/>
      </rPr>
      <t>升轉</t>
    </r>
  </si>
  <si>
    <t>RT1399</t>
  </si>
  <si>
    <t>上半場小計</t>
  </si>
  <si>
    <t>【下半場基礎獎金】AQ或RT未達60%→歸零/ AQ999下半場不加碼</t>
  </si>
  <si>
    <t>下半場小計</t>
  </si>
  <si>
    <t>【基礎獎金合計】</t>
  </si>
  <si>
    <r>
      <rPr>
        <b/>
        <sz val="12"/>
        <color theme="0"/>
        <rFont val="微軟正黑體"/>
        <family val="2"/>
        <charset val="136"/>
      </rPr>
      <t>RT</t>
    </r>
    <r>
      <rPr>
        <b/>
        <sz val="12"/>
        <color theme="0"/>
        <rFont val="Noto Sans CJK SC"/>
        <family val="2"/>
      </rPr>
      <t>獎金</t>
    </r>
  </si>
  <si>
    <t>上半場_手機案
未達-500</t>
  </si>
  <si>
    <t>下半場_手機案
未達-500</t>
  </si>
  <si>
    <t>上半場_保險
未達-500</t>
  </si>
  <si>
    <t>下半場_保險
未達-500</t>
  </si>
  <si>
    <t>上半場_台哥大配件
未達-500</t>
  </si>
  <si>
    <t>下半場_台哥大配件
未達-500</t>
  </si>
  <si>
    <t>📶 上半場5G
未達-500</t>
  </si>
  <si>
    <t>📶下半場 5G
未達-500</t>
  </si>
  <si>
    <r>
      <rPr>
        <b/>
        <sz val="12"/>
        <color theme="0"/>
        <rFont val="微軟正黑體"/>
        <family val="2"/>
        <charset val="136"/>
      </rPr>
      <t>AQ</t>
    </r>
    <r>
      <rPr>
        <b/>
        <sz val="12"/>
        <color theme="0"/>
        <rFont val="Noto Sans CJK SC"/>
        <family val="2"/>
      </rPr>
      <t>獎金</t>
    </r>
  </si>
  <si>
    <r>
      <rPr>
        <b/>
        <sz val="12"/>
        <color theme="0"/>
        <rFont val="微軟正黑體"/>
        <family val="2"/>
        <charset val="136"/>
      </rPr>
      <t>AQ</t>
    </r>
    <r>
      <rPr>
        <b/>
        <sz val="12"/>
        <color theme="0"/>
        <rFont val="Noto Sans CJK SC"/>
        <family val="2"/>
      </rPr>
      <t>積分</t>
    </r>
  </si>
  <si>
    <r>
      <rPr>
        <b/>
        <sz val="12"/>
        <color rgb="FFFF0000"/>
        <rFont val="微軟正黑體"/>
        <family val="2"/>
        <charset val="136"/>
      </rPr>
      <t>AQ</t>
    </r>
    <r>
      <rPr>
        <b/>
        <sz val="12"/>
        <color rgb="FFFF0000"/>
        <rFont val="Noto Sans CJK SC"/>
        <family val="2"/>
      </rPr>
      <t>點數
 必達</t>
    </r>
    <r>
      <rPr>
        <b/>
        <sz val="12"/>
        <color rgb="FFFF0000"/>
        <rFont val="微軟正黑體"/>
        <family val="2"/>
        <charset val="136"/>
      </rPr>
      <t>60%</t>
    </r>
    <r>
      <rPr>
        <b/>
        <sz val="12"/>
        <color rgb="FFFF0000"/>
        <rFont val="Noto Sans CJK SC"/>
        <family val="2"/>
      </rPr>
      <t>低標</t>
    </r>
  </si>
  <si>
    <t>上半場-AQ總點數</t>
  </si>
  <si>
    <t>下半場-AQ總點數</t>
  </si>
  <si>
    <t xml:space="preserve">上半場_AQ≧299點數
100元/點   </t>
  </si>
  <si>
    <t xml:space="preserve">下半場_AQ≧299點數
100元/點   </t>
  </si>
  <si>
    <t xml:space="preserve">上半場AQ999
加碼獎金300元/件 </t>
  </si>
  <si>
    <r>
      <rPr>
        <b/>
        <sz val="12"/>
        <color theme="1"/>
        <rFont val="微軟正黑體"/>
        <family val="2"/>
        <charset val="136"/>
      </rPr>
      <t>25</t>
    </r>
    <r>
      <rPr>
        <b/>
        <sz val="12"/>
        <color theme="1"/>
        <rFont val="Noto Sans CJK SC"/>
        <family val="2"/>
      </rPr>
      <t>倍</t>
    </r>
  </si>
  <si>
    <r>
      <rPr>
        <b/>
        <sz val="12"/>
        <color theme="1"/>
        <rFont val="微軟正黑體"/>
        <family val="2"/>
        <charset val="136"/>
      </rPr>
      <t>AQ</t>
    </r>
    <r>
      <rPr>
        <b/>
        <sz val="12"/>
        <color theme="1"/>
        <rFont val="Noto Sans CJK SC"/>
        <family val="2"/>
      </rPr>
      <t>總獎金</t>
    </r>
  </si>
  <si>
    <r>
      <rPr>
        <b/>
        <sz val="12"/>
        <color theme="0"/>
        <rFont val="微軟正黑體"/>
        <family val="2"/>
        <charset val="136"/>
      </rPr>
      <t>RT</t>
    </r>
    <r>
      <rPr>
        <b/>
        <sz val="12"/>
        <color theme="0"/>
        <rFont val="Noto Sans CJK SC"/>
        <family val="2"/>
      </rPr>
      <t>積分</t>
    </r>
  </si>
  <si>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rgb="FFFF0000"/>
        <rFont val="Noto Sans CJK SC"/>
        <family val="2"/>
      </rPr>
      <t>總件數
 必達</t>
    </r>
    <r>
      <rPr>
        <b/>
        <sz val="12"/>
        <color rgb="FFFF0000"/>
        <rFont val="微軟正黑體"/>
        <family val="2"/>
        <charset val="136"/>
      </rPr>
      <t>60%</t>
    </r>
    <r>
      <rPr>
        <b/>
        <sz val="12"/>
        <color rgb="FFFF0000"/>
        <rFont val="Noto Sans CJK SC"/>
        <family val="2"/>
      </rPr>
      <t>低標</t>
    </r>
  </si>
  <si>
    <t xml:space="preserve">上半場_RT總件數                    </t>
  </si>
  <si>
    <t>下半場_RT總件數</t>
  </si>
  <si>
    <t>上半場_RT升轉
每件100元</t>
  </si>
  <si>
    <t>下半場_RT升轉
每件100元</t>
  </si>
  <si>
    <t>上半場_特維
每件100元</t>
  </si>
  <si>
    <t>下半場_特維
每件100元</t>
  </si>
  <si>
    <t>上半場_RT 1399 
每件100元</t>
  </si>
  <si>
    <t>下半場_RT 1399 
每件100元</t>
  </si>
  <si>
    <r>
      <rPr>
        <b/>
        <sz val="12"/>
        <color theme="1"/>
        <rFont val="微軟正黑體"/>
        <family val="2"/>
        <charset val="136"/>
      </rPr>
      <t>30</t>
    </r>
    <r>
      <rPr>
        <b/>
        <sz val="12"/>
        <color theme="1"/>
        <rFont val="Noto Sans CJK SC"/>
        <family val="2"/>
      </rPr>
      <t>倍</t>
    </r>
  </si>
  <si>
    <r>
      <rPr>
        <b/>
        <sz val="12"/>
        <color theme="1"/>
        <rFont val="微軟正黑體"/>
        <family val="2"/>
        <charset val="136"/>
      </rPr>
      <t>RT</t>
    </r>
    <r>
      <rPr>
        <b/>
        <sz val="12"/>
        <color theme="1"/>
        <rFont val="Noto Sans CJK SC"/>
        <family val="2"/>
      </rPr>
      <t>總獎金</t>
    </r>
  </si>
  <si>
    <t>📋 員工名冊 - 基礎資料與目標設定</t>
  </si>
  <si>
    <t>💡 月初設定一次 | 黃色欄位為手動輸入區 | 員工異動請在此表修改</t>
  </si>
  <si>
    <t>員工編號</t>
  </si>
  <si>
    <t>戰力等級</t>
  </si>
  <si>
    <t>責任毛利
目標</t>
  </si>
  <si>
    <r>
      <rPr>
        <b/>
        <sz val="11"/>
        <color rgb="FFFFFFFF"/>
        <rFont val="微軟正黑體"/>
        <family val="2"/>
        <charset val="136"/>
      </rPr>
      <t>AQ</t>
    </r>
    <r>
      <rPr>
        <b/>
        <sz val="11"/>
        <color rgb="FFFFFFFF"/>
        <rFont val="Noto Sans CJK SC"/>
        <family val="2"/>
      </rPr>
      <t>目標</t>
    </r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</si>
  <si>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>點數
目標</t>
    </r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</si>
  <si>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>件數
目標</t>
    </r>
  </si>
  <si>
    <r>
      <rPr>
        <b/>
        <sz val="11"/>
        <color rgb="FFFFFFFF"/>
        <rFont val="微軟正黑體"/>
        <family val="2"/>
        <charset val="136"/>
      </rPr>
      <t>RT</t>
    </r>
    <r>
      <rPr>
        <b/>
        <sz val="11"/>
        <color rgb="FFFFFFFF"/>
        <rFont val="Noto Sans CJK SC"/>
        <family val="2"/>
      </rPr>
      <t>升轉
目標</t>
    </r>
  </si>
  <si>
    <r>
      <rPr>
        <b/>
        <sz val="11"/>
        <color rgb="FFFFFFFF"/>
        <rFont val="微軟正黑體"/>
        <family val="2"/>
        <charset val="136"/>
      </rPr>
      <t xml:space="preserve">RT999
</t>
    </r>
    <r>
      <rPr>
        <b/>
        <sz val="11"/>
        <color rgb="FFFFFFFF"/>
        <rFont val="Noto Sans CJK SC"/>
        <family val="2"/>
      </rPr>
      <t>目標</t>
    </r>
  </si>
  <si>
    <r>
      <rPr>
        <b/>
        <sz val="11"/>
        <color rgb="FFFFFFFF"/>
        <rFont val="微軟正黑體"/>
        <family val="2"/>
        <charset val="136"/>
      </rPr>
      <t xml:space="preserve">RT1399
</t>
    </r>
    <r>
      <rPr>
        <b/>
        <sz val="11"/>
        <color rgb="FFFFFFFF"/>
        <rFont val="Noto Sans CJK SC"/>
        <family val="2"/>
      </rPr>
      <t>目標</t>
    </r>
  </si>
  <si>
    <t>手機案
目標</t>
  </si>
  <si>
    <t>保險
目標</t>
  </si>
  <si>
    <r>
      <rPr>
        <b/>
        <sz val="11"/>
        <color rgb="FFFFFFFF"/>
        <rFont val="微軟正黑體"/>
        <family val="2"/>
        <charset val="136"/>
      </rPr>
      <t xml:space="preserve">5G
</t>
    </r>
    <r>
      <rPr>
        <b/>
        <sz val="11"/>
        <color rgb="FFFFFFFF"/>
        <rFont val="Noto Sans CJK SC"/>
        <family val="2"/>
      </rPr>
      <t>目標</t>
    </r>
  </si>
  <si>
    <t>責任機
目標</t>
  </si>
  <si>
    <t>庫存機
目標</t>
  </si>
  <si>
    <t>舊機回收
目標</t>
  </si>
  <si>
    <t>配件
目標</t>
  </si>
  <si>
    <t>E001</t>
  </si>
  <si>
    <t>L1</t>
  </si>
  <si>
    <t>E019</t>
  </si>
  <si>
    <t>L2</t>
  </si>
  <si>
    <t>E016</t>
  </si>
  <si>
    <t>E003</t>
  </si>
  <si>
    <t>E005</t>
  </si>
  <si>
    <t>E008</t>
  </si>
  <si>
    <t>E018</t>
  </si>
  <si>
    <t>E009</t>
  </si>
  <si>
    <t>E012</t>
  </si>
  <si>
    <t>E010</t>
  </si>
  <si>
    <t>E011</t>
  </si>
  <si>
    <t>E013</t>
  </si>
  <si>
    <t>E017</t>
  </si>
  <si>
    <t>E014</t>
  </si>
  <si>
    <t>E015</t>
  </si>
  <si>
    <t>E002</t>
  </si>
  <si>
    <t>E006</t>
  </si>
  <si>
    <t>E020</t>
  </si>
  <si>
    <t>E007</t>
  </si>
  <si>
    <t>📊 員工業績累計表 - 自動彙整每日業績</t>
  </si>
  <si>
    <t>業績週期：</t>
  </si>
  <si>
    <t>今日日期：</t>
  </si>
  <si>
    <t>已過天數：</t>
  </si>
  <si>
    <t>本月總天數：</t>
  </si>
  <si>
    <t>📊 累計業績（自動加總）</t>
  </si>
  <si>
    <t>🎯 目標</t>
  </si>
  <si>
    <t>📈 達成率</t>
  </si>
  <si>
    <t>🔮 預估月底</t>
  </si>
  <si>
    <t>💰 獎金計算</t>
  </si>
  <si>
    <r>
      <rPr>
        <sz val="10"/>
        <color rgb="FFFFFFFF"/>
        <rFont val="新細明體"/>
        <family val="1"/>
        <charset val="136"/>
      </rPr>
      <t>AQ</t>
    </r>
    <r>
      <rPr>
        <sz val="10"/>
        <color rgb="FFFFFFFF"/>
        <rFont val="Noto Sans CJK SC"/>
        <family val="2"/>
      </rPr>
      <t>點數
累計</t>
    </r>
  </si>
  <si>
    <r>
      <rPr>
        <sz val="10"/>
        <color rgb="FFFFFFFF"/>
        <rFont val="新細明體"/>
        <family val="1"/>
        <charset val="136"/>
      </rPr>
      <t>RT</t>
    </r>
    <r>
      <rPr>
        <sz val="10"/>
        <color rgb="FFFFFFFF"/>
        <rFont val="Noto Sans CJK SC"/>
        <family val="2"/>
      </rPr>
      <t>點數
累計</t>
    </r>
  </si>
  <si>
    <r>
      <rPr>
        <sz val="10"/>
        <color rgb="FFFFFFFF"/>
        <rFont val="新細明體"/>
        <family val="1"/>
        <charset val="136"/>
      </rPr>
      <t>RT</t>
    </r>
    <r>
      <rPr>
        <sz val="10"/>
        <color rgb="FFFFFFFF"/>
        <rFont val="Noto Sans CJK SC"/>
        <family val="2"/>
      </rPr>
      <t>件數
累計</t>
    </r>
  </si>
  <si>
    <r>
      <rPr>
        <sz val="10"/>
        <color rgb="FFFFFFFF"/>
        <rFont val="新細明體"/>
        <family val="1"/>
        <charset val="136"/>
      </rPr>
      <t>RT</t>
    </r>
    <r>
      <rPr>
        <sz val="10"/>
        <color rgb="FFFFFFFF"/>
        <rFont val="Noto Sans CJK SC"/>
        <family val="2"/>
      </rPr>
      <t>升轉
累計</t>
    </r>
  </si>
  <si>
    <r>
      <rPr>
        <sz val="10"/>
        <color rgb="FFFFFFFF"/>
        <rFont val="新細明體"/>
        <family val="1"/>
        <charset val="136"/>
      </rPr>
      <t xml:space="preserve">RT999+
</t>
    </r>
    <r>
      <rPr>
        <sz val="10"/>
        <color rgb="FFFFFFFF"/>
        <rFont val="Noto Sans CJK SC"/>
        <family val="2"/>
      </rPr>
      <t>累計</t>
    </r>
  </si>
  <si>
    <r>
      <rPr>
        <sz val="10"/>
        <color rgb="FFFFFFFF"/>
        <rFont val="新細明體"/>
        <family val="1"/>
        <charset val="136"/>
      </rPr>
      <t xml:space="preserve">RT1399+
</t>
    </r>
    <r>
      <rPr>
        <sz val="10"/>
        <color rgb="FFFFFFFF"/>
        <rFont val="Noto Sans CJK SC"/>
        <family val="2"/>
      </rPr>
      <t>累計</t>
    </r>
  </si>
  <si>
    <t>特維
累計</t>
  </si>
  <si>
    <t>手機案
累計</t>
  </si>
  <si>
    <t>寬頻
累計</t>
  </si>
  <si>
    <r>
      <rPr>
        <b/>
        <sz val="10"/>
        <color theme="0"/>
        <rFont val="新細明體"/>
        <family val="1"/>
        <charset val="136"/>
      </rPr>
      <t>RT</t>
    </r>
    <r>
      <rPr>
        <b/>
        <sz val="10"/>
        <color theme="0"/>
        <rFont val="Noto Sans CJK SC"/>
        <family val="2"/>
      </rPr>
      <t>點數
目標</t>
    </r>
  </si>
  <si>
    <r>
      <rPr>
        <b/>
        <sz val="10"/>
        <color theme="0"/>
        <rFont val="新細明體"/>
        <family val="1"/>
        <charset val="136"/>
      </rPr>
      <t>RT</t>
    </r>
    <r>
      <rPr>
        <b/>
        <sz val="10"/>
        <color theme="0"/>
        <rFont val="Noto Sans CJK SC"/>
        <family val="2"/>
      </rPr>
      <t>件數
目標</t>
    </r>
  </si>
  <si>
    <r>
      <rPr>
        <b/>
        <sz val="10"/>
        <color theme="0"/>
        <rFont val="新細明體"/>
        <family val="1"/>
        <charset val="136"/>
      </rPr>
      <t xml:space="preserve">AQ
</t>
    </r>
    <r>
      <rPr>
        <b/>
        <sz val="10"/>
        <color theme="0"/>
        <rFont val="Noto Sans CJK SC"/>
        <family val="2"/>
      </rPr>
      <t>目標</t>
    </r>
  </si>
  <si>
    <r>
      <rPr>
        <sz val="10"/>
        <color rgb="FFFFFFFF"/>
        <rFont val="新細明體"/>
        <family val="1"/>
        <charset val="136"/>
      </rPr>
      <t>RT</t>
    </r>
    <r>
      <rPr>
        <sz val="10"/>
        <color rgb="FFFFFFFF"/>
        <rFont val="Noto Sans CJK SC"/>
        <family val="2"/>
      </rPr>
      <t>點數
達成率</t>
    </r>
  </si>
  <si>
    <r>
      <rPr>
        <sz val="10"/>
        <color rgb="FFFFFFFF"/>
        <rFont val="新細明體"/>
        <family val="1"/>
        <charset val="136"/>
      </rPr>
      <t>RT</t>
    </r>
    <r>
      <rPr>
        <sz val="10"/>
        <color rgb="FFFFFFFF"/>
        <rFont val="Noto Sans CJK SC"/>
        <family val="2"/>
      </rPr>
      <t>件數
達成率</t>
    </r>
  </si>
  <si>
    <r>
      <rPr>
        <sz val="10"/>
        <color rgb="FFFFFFFF"/>
        <rFont val="新細明體"/>
        <family val="1"/>
        <charset val="136"/>
      </rPr>
      <t xml:space="preserve">AQ
</t>
    </r>
    <r>
      <rPr>
        <sz val="10"/>
        <color rgb="FFFFFFFF"/>
        <rFont val="Noto Sans CJK SC"/>
        <family val="2"/>
      </rPr>
      <t>達成率</t>
    </r>
  </si>
  <si>
    <t>手機
達成率</t>
  </si>
  <si>
    <t>預估
RT點數</t>
  </si>
  <si>
    <t>預估
RT件數</t>
  </si>
  <si>
    <t>預估
AQ</t>
  </si>
  <si>
    <t>預估
手機案</t>
  </si>
  <si>
    <t>毛利分潤</t>
  </si>
  <si>
    <t>全壘打</t>
  </si>
  <si>
    <t>📥 每日業績輸入區 - 每天貼上業績資料</t>
  </si>
  <si>
    <t>💡 每日從系統匯出資料後，直接貼到第4行開始 | 格式：日期、店點、姓名、各項業績</t>
  </si>
  <si>
    <t>日期</t>
  </si>
  <si>
    <t>毛利</t>
  </si>
  <si>
    <r>
      <rPr>
        <b/>
        <sz val="11"/>
        <color rgb="FFFFFFFF"/>
        <rFont val="新細明體"/>
        <family val="1"/>
        <charset val="136"/>
      </rPr>
      <t>AQ</t>
    </r>
    <r>
      <rPr>
        <b/>
        <sz val="11"/>
        <color rgb="FFFFFFFF"/>
        <rFont val="Noto Sans CJK SC"/>
        <family val="2"/>
      </rPr>
      <t>點數</t>
    </r>
  </si>
  <si>
    <t>AQ299</t>
  </si>
  <si>
    <r>
      <rPr>
        <b/>
        <sz val="11"/>
        <color rgb="FFFFFFFF"/>
        <rFont val="新細明體"/>
        <family val="1"/>
        <charset val="136"/>
      </rPr>
      <t>RT</t>
    </r>
    <r>
      <rPr>
        <b/>
        <sz val="11"/>
        <color rgb="FFFFFFFF"/>
        <rFont val="Noto Sans CJK SC"/>
        <family val="2"/>
      </rPr>
      <t>點數</t>
    </r>
  </si>
  <si>
    <r>
      <rPr>
        <b/>
        <sz val="11"/>
        <color rgb="FFFFFFFF"/>
        <rFont val="新細明體"/>
        <family val="1"/>
        <charset val="136"/>
      </rPr>
      <t>RT</t>
    </r>
    <r>
      <rPr>
        <b/>
        <sz val="11"/>
        <color rgb="FFFFFFFF"/>
        <rFont val="Noto Sans CJK SC"/>
        <family val="2"/>
      </rPr>
      <t>件數</t>
    </r>
  </si>
  <si>
    <r>
      <rPr>
        <b/>
        <sz val="11"/>
        <color rgb="FFFFFFFF"/>
        <rFont val="新細明體"/>
        <family val="1"/>
        <charset val="136"/>
      </rPr>
      <t>RT</t>
    </r>
    <r>
      <rPr>
        <b/>
        <sz val="11"/>
        <color rgb="FFFFFFFF"/>
        <rFont val="Noto Sans CJK SC"/>
        <family val="2"/>
      </rPr>
      <t>升轉</t>
    </r>
  </si>
  <si>
    <t>RT999+</t>
  </si>
  <si>
    <t>5G</t>
  </si>
  <si>
    <t>手機案</t>
  </si>
  <si>
    <t>保險</t>
  </si>
  <si>
    <t>手機台數</t>
  </si>
  <si>
    <t>責任機</t>
  </si>
  <si>
    <t>換約淨新</t>
  </si>
  <si>
    <t>配件額</t>
  </si>
  <si>
    <t>備註</t>
  </si>
  <si>
    <t>上半場
AQ點數</t>
  </si>
  <si>
    <t>下半場
AQ點數</t>
  </si>
  <si>
    <t>上半場
AQ299+</t>
  </si>
  <si>
    <t>下半場
AQ299+</t>
  </si>
  <si>
    <t>上半場
AQ999+</t>
  </si>
  <si>
    <t>下半場
AQ999+</t>
  </si>
  <si>
    <t>RT點數</t>
  </si>
  <si>
    <t>上半場
RT總件數</t>
  </si>
  <si>
    <t>下半場
RT總件數</t>
  </si>
  <si>
    <t>上半場
RT升轉</t>
  </si>
  <si>
    <t>下半場
RT升轉</t>
  </si>
  <si>
    <t>上半場
特維</t>
  </si>
  <si>
    <t>下半場
特維</t>
  </si>
  <si>
    <t xml:space="preserve">上半場
RT 999 </t>
  </si>
  <si>
    <t xml:space="preserve">下半場
RT 999 </t>
  </si>
  <si>
    <t xml:space="preserve">上半場
RT 1399 </t>
  </si>
  <si>
    <t xml:space="preserve">下半場
RT 1399 </t>
  </si>
  <si>
    <t>上半場
5G</t>
  </si>
  <si>
    <t>下半場
5G</t>
  </si>
  <si>
    <t>上半場
手機案</t>
  </si>
  <si>
    <t>下半場
手機案</t>
  </si>
  <si>
    <t>上半場
手機保險</t>
  </si>
  <si>
    <t>下半場
手機保險</t>
  </si>
  <si>
    <t>上半場寬頻</t>
  </si>
  <si>
    <t>下半場寬頻</t>
  </si>
  <si>
    <t>上半場
手機台數</t>
  </si>
  <si>
    <t>下半場
手機台數</t>
  </si>
  <si>
    <t>上半場
配件</t>
  </si>
  <si>
    <t>下半場
配件</t>
  </si>
  <si>
    <t>調改單
扣分</t>
  </si>
  <si>
    <t>舊機回收</t>
  </si>
  <si>
    <r>
      <rPr>
        <b/>
        <sz val="12"/>
        <color rgb="FF1F3864"/>
        <rFont val="Segoe UI Emoji"/>
        <family val="2"/>
      </rPr>
      <t>🏆</t>
    </r>
    <r>
      <rPr>
        <b/>
        <sz val="12"/>
        <color rgb="FF1F3864"/>
        <rFont val="Arial"/>
        <family val="2"/>
      </rPr>
      <t xml:space="preserve"> </t>
    </r>
    <r>
      <rPr>
        <b/>
        <sz val="12"/>
        <color rgb="FF1F3864"/>
        <rFont val="微軟正黑體"/>
        <family val="2"/>
        <charset val="136"/>
      </rPr>
      <t>本月合計</t>
    </r>
    <phoneticPr fontId="149" type="noConversion"/>
  </si>
  <si>
    <t>元</t>
    <phoneticPr fontId="149" type="noConversion"/>
  </si>
  <si>
    <t>▢▢▢▢▢</t>
  </si>
  <si>
    <t>銀級</t>
    <phoneticPr fontId="149" type="noConversion"/>
  </si>
  <si>
    <t>45–59★  →  $3,000</t>
  </si>
  <si>
    <t>60–75★  →  $5,500</t>
  </si>
  <si>
    <t>76★以上  →  $8,000</t>
  </si>
  <si>
    <t>※ 8月新制 底標45星：未達不發、下月重新累積 ｜ 破紀錄&gt;94★(單月實際)另加$6,000、同月僅最高一人 ｜ 財源為台哥大手機補貼，不影響公司23%毛利基準線 ｜ 一台5★機=5星</t>
  </si>
  <si>
    <r>
      <rPr>
        <b/>
        <sz val="12"/>
        <color rgb="FFFFFFFF"/>
        <rFont val="Segoe UI Emoji"/>
        <family val="2"/>
      </rPr>
      <t>📱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微軟正黑體"/>
        <family val="2"/>
        <charset val="136"/>
      </rPr>
      <t>手機案
未達</t>
    </r>
    <r>
      <rPr>
        <b/>
        <sz val="12"/>
        <color rgb="FFFFFFFF"/>
        <rFont val="Arial"/>
        <family val="2"/>
      </rPr>
      <t>-500</t>
    </r>
    <phoneticPr fontId="149" type="noConversion"/>
  </si>
  <si>
    <r>
      <rPr>
        <b/>
        <sz val="11"/>
        <color rgb="FFFFFFFF"/>
        <rFont val="Segoe UI Emoji"/>
        <family val="2"/>
      </rPr>
      <t>🛡️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微軟正黑體"/>
        <family val="2"/>
        <charset val="136"/>
      </rPr>
      <t>保險
未達</t>
    </r>
    <r>
      <rPr>
        <b/>
        <sz val="11"/>
        <color rgb="FFFFFFFF"/>
        <rFont val="Arial"/>
        <family val="2"/>
      </rPr>
      <t>-500</t>
    </r>
    <phoneticPr fontId="149" type="noConversion"/>
  </si>
  <si>
    <t>L4</t>
  </si>
  <si>
    <t>9月上半場 8/30-9/13</t>
  </si>
  <si>
    <t>9月下半場9/14-9/28</t>
  </si>
  <si>
    <r>
      <rPr>
        <b/>
        <sz val="16"/>
        <color rgb="FFFFFFFF"/>
        <rFont val="微軟正黑體"/>
        <family val="2"/>
        <charset val="136"/>
      </rPr>
      <t>倚盟</t>
    </r>
    <r>
      <rPr>
        <b/>
        <sz val="16"/>
        <color rgb="FFFFFFFF"/>
        <rFont val="Arial"/>
        <family val="2"/>
      </rPr>
      <t xml:space="preserve"> 9</t>
    </r>
    <r>
      <rPr>
        <b/>
        <sz val="16"/>
        <color rgb="FFFFFFFF"/>
        <rFont val="微軟正黑體"/>
        <family val="2"/>
        <charset val="136"/>
      </rPr>
      <t>月</t>
    </r>
    <r>
      <rPr>
        <b/>
        <sz val="16"/>
        <color rgb="FFFFFFFF"/>
        <rFont val="Arial"/>
        <family val="2"/>
      </rPr>
      <t xml:space="preserve">  </t>
    </r>
    <r>
      <rPr>
        <b/>
        <sz val="16"/>
        <color rgb="FFFFFFFF"/>
        <rFont val="微軟正黑體"/>
        <family val="2"/>
        <charset val="136"/>
      </rPr>
      <t>基礎獎金計算表</t>
    </r>
    <phoneticPr fontId="149" type="noConversion"/>
  </si>
  <si>
    <t>破紀錄&gt;99★  → +$6,000</t>
  </si>
  <si>
    <t>差25星→達底標</t>
  </si>
  <si>
    <t>下半場</t>
  </si>
  <si>
    <t>8月下半場</t>
    <phoneticPr fontId="149" type="noConversion"/>
  </si>
  <si>
    <t>差12星→$5500</t>
  </si>
  <si>
    <t>差10星→達底標</t>
  </si>
  <si>
    <t>差14星→達底標</t>
  </si>
  <si>
    <t>差17星→達底標</t>
  </si>
  <si>
    <t>差8星→$5500</t>
  </si>
  <si>
    <t>差5星→達底標</t>
  </si>
  <si>
    <t>差6星→$8000</t>
  </si>
  <si>
    <t>⬛⬛⬛⬛⬛</t>
  </si>
  <si>
    <t>差7星→$8000</t>
  </si>
  <si>
    <t>差9星→達底標</t>
  </si>
  <si>
    <t>差3星→達底標</t>
  </si>
  <si>
    <t>差13星→$5500</t>
  </si>
  <si>
    <t>差15星→$5500</t>
  </si>
  <si>
    <t>差12星→達底標</t>
  </si>
  <si>
    <t>差8星→達底標</t>
  </si>
  <si>
    <t>差2星→達底標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</si>
</sst>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#,##0.0%"/>
    <numFmt numFmtId="177" formatCode="\$#,##0;[Red]&quot;-$&quot;#,##0"/>
    <numFmt numFmtId="178" formatCode="\$#,##0_);[Red]&quot;($&quot;#,##0\)"/>
    <numFmt numFmtId="179" formatCode="yyyy/m/d;@"/>
    <numFmt numFmtId="180" formatCode="0&quot;天&quot;"/>
    <numFmt numFmtId="181" formatCode="\$#,##0"/>
    <numFmt numFmtId="182" formatCode="#,##0_);[Red]\(#,##0\)"/>
    <numFmt numFmtId="183" formatCode="0.0"/>
    <numFmt numFmtId="184" formatCode="0.00_ ;[Red]\-0.00\ "/>
    <numFmt numFmtId="185" formatCode="0_ ;[Red]\-0\ "/>
    <numFmt numFmtId="186" formatCode="\$#,##0.00000"/>
    <numFmt numFmtId="187" formatCode="m/d/yyyy"/>
    <numFmt numFmtId="188" formatCode="#,##0_ "/>
    <numFmt numFmtId="189" formatCode="0.0_);[Red]\(0.0\)"/>
    <numFmt numFmtId="190" formatCode="0.00_);[Red]\(0.00\)"/>
    <numFmt numFmtId="191" formatCode="0.0%"/>
    <numFmt numFmtId="192" formatCode="#,##0_);\(#,##0\)"/>
    <numFmt numFmtId="193" formatCode="0_);[Red]\(0\)"/>
    <numFmt numFmtId="194" formatCode="#,##0.00_);\(#,##0.00\)"/>
  </numFmts>
  <fonts count="160">
    <font>
      <sz val="11"/>
      <color theme="1"/>
      <name val="新細明體"/>
      <charset val="1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1"/>
      <charset val="136"/>
    </font>
    <font>
      <b/>
      <sz val="9"/>
      <color rgb="FF000000"/>
      <name val="新細明體"/>
      <family val="1"/>
      <charset val="136"/>
    </font>
    <font>
      <b/>
      <sz val="9"/>
      <name val="新細明體"/>
      <family val="1"/>
      <charset val="136"/>
    </font>
    <font>
      <sz val="12"/>
      <color theme="1"/>
      <name val="新細明體"/>
      <family val="2"/>
      <charset val="136"/>
    </font>
    <font>
      <b/>
      <sz val="12"/>
      <color theme="0"/>
      <name val="微軟正黑體"/>
      <family val="2"/>
      <charset val="136"/>
    </font>
    <font>
      <b/>
      <sz val="18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微軟正黑體"/>
      <family val="2"/>
      <charset val="136"/>
    </font>
    <font>
      <sz val="11"/>
      <color theme="1"/>
      <name val="Noto Sans CJK SC"/>
      <family val="2"/>
    </font>
    <font>
      <b/>
      <sz val="14"/>
      <color rgb="FFFFFFFF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</font>
    <font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14"/>
      <color theme="0"/>
      <name val="Noto Sans CJK SC"/>
      <family val="2"/>
      <charset val="1"/>
    </font>
    <font>
      <b/>
      <sz val="1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1"/>
      <color theme="1"/>
      <name val="Segoe UI Symbol"/>
      <family val="2"/>
      <charset val="1"/>
    </font>
    <font>
      <b/>
      <sz val="12"/>
      <color theme="1"/>
      <name val="Noto Sans CJK SC"/>
      <family val="2"/>
      <charset val="1"/>
    </font>
    <font>
      <b/>
      <sz val="14"/>
      <color rgb="FFFFFFFF"/>
      <name val="jf open 粉圓 2.1"/>
      <family val="1"/>
      <charset val="136"/>
    </font>
    <font>
      <b/>
      <sz val="14"/>
      <color rgb="FFFFFFFF"/>
      <name val="Noto Sans CJK SC"/>
      <family val="2"/>
    </font>
    <font>
      <b/>
      <sz val="12"/>
      <color theme="1"/>
      <name val="Microsoft JhengHei Light"/>
      <family val="2"/>
      <charset val="136"/>
    </font>
    <font>
      <sz val="16"/>
      <color theme="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1"/>
      <color theme="0"/>
      <name val="Noto Sans CJK SC"/>
      <family val="2"/>
      <charset val="1"/>
    </font>
    <font>
      <b/>
      <sz val="11"/>
      <color theme="0"/>
      <name val="微軟正黑體"/>
      <family val="2"/>
      <charset val="136"/>
    </font>
    <font>
      <sz val="16"/>
      <color theme="0"/>
      <name val="Noto Sans CJK SC"/>
      <family val="2"/>
      <charset val="1"/>
    </font>
    <font>
      <b/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color theme="0"/>
      <name val="Noto Sans CJK SC"/>
      <family val="2"/>
      <charset val="1"/>
    </font>
    <font>
      <sz val="12"/>
      <color theme="0"/>
      <name val="微軟正黑體"/>
      <family val="2"/>
      <charset val="136"/>
    </font>
    <font>
      <sz val="12"/>
      <color theme="0"/>
      <name val="Noto Sans CJK SC"/>
      <family val="2"/>
    </font>
    <font>
      <sz val="12"/>
      <color theme="0"/>
      <name val="Noto Sans CJK SC"/>
      <family val="2"/>
      <charset val="1"/>
    </font>
    <font>
      <sz val="11"/>
      <color rgb="FFFF0000"/>
      <name val="Noto Sans CJK SC"/>
      <family val="2"/>
      <charset val="1"/>
    </font>
    <font>
      <b/>
      <sz val="10"/>
      <color theme="0"/>
      <name val="微軟正黑體"/>
      <family val="2"/>
      <charset val="136"/>
    </font>
    <font>
      <b/>
      <sz val="10"/>
      <color theme="0"/>
      <name val="Noto Sans CJK SC"/>
      <family val="2"/>
    </font>
    <font>
      <b/>
      <sz val="10"/>
      <color theme="0"/>
      <name val="Noto Sans CJK SC"/>
      <family val="2"/>
      <charset val="1"/>
    </font>
    <font>
      <sz val="10"/>
      <color theme="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b/>
      <sz val="22"/>
      <color rgb="FFFFFFFF"/>
      <name val="Noto Sans CJK SC"/>
      <family val="2"/>
      <charset val="1"/>
    </font>
    <font>
      <b/>
      <sz val="12"/>
      <color rgb="FF1F4E79"/>
      <name val="微軟正黑體"/>
      <family val="2"/>
      <charset val="136"/>
    </font>
    <font>
      <b/>
      <sz val="12"/>
      <color rgb="FF1F4E79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微軟正黑體"/>
      <family val="2"/>
      <charset val="136"/>
    </font>
    <font>
      <b/>
      <sz val="10"/>
      <color rgb="FFFFFFFF"/>
      <name val="Noto Sans CJK SC"/>
      <family val="2"/>
    </font>
    <font>
      <b/>
      <sz val="14"/>
      <name val="微軟正黑體"/>
      <family val="2"/>
      <charset val="136"/>
    </font>
    <font>
      <b/>
      <sz val="11"/>
      <color rgb="FF2E7D32"/>
      <name val="微軟正黑體"/>
      <family val="2"/>
      <charset val="136"/>
    </font>
    <font>
      <b/>
      <sz val="11"/>
      <color rgb="FF1565C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4"/>
      <color rgb="FFC00000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color theme="0"/>
      <name val="Noto Sans CJK SC"/>
      <family val="2"/>
      <charset val="1"/>
    </font>
    <font>
      <b/>
      <sz val="14"/>
      <color theme="1"/>
      <name val="Noto Sans CJK SC"/>
      <family val="2"/>
      <charset val="1"/>
    </font>
    <font>
      <sz val="14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color theme="0"/>
      <name val="Noto Sans CJK SC"/>
      <family val="2"/>
    </font>
    <font>
      <b/>
      <sz val="13"/>
      <name val="Noto Sans CJK SC"/>
      <family val="2"/>
      <charset val="1"/>
    </font>
    <font>
      <b/>
      <sz val="13"/>
      <name val="Noto Sans CJK SC"/>
      <family val="2"/>
    </font>
    <font>
      <b/>
      <sz val="13"/>
      <name val="微軟正黑體"/>
      <family val="2"/>
      <charset val="136"/>
    </font>
    <font>
      <sz val="13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3"/>
      <color rgb="FFFF0000"/>
      <name val="微軟正黑體"/>
      <family val="2"/>
      <charset val="136"/>
    </font>
    <font>
      <b/>
      <sz val="13"/>
      <color theme="0"/>
      <name val="Noto Sans CJK SC"/>
      <family val="2"/>
      <charset val="1"/>
    </font>
    <font>
      <b/>
      <sz val="13"/>
      <color theme="0"/>
      <name val="微軟正黑體"/>
      <family val="2"/>
      <charset val="136"/>
    </font>
    <font>
      <b/>
      <sz val="13"/>
      <color theme="0"/>
      <name val="Noto Sans CJK SC"/>
      <family val="2"/>
    </font>
    <font>
      <sz val="13"/>
      <color theme="1"/>
      <name val="Noto Sans CJK SC"/>
      <family val="2"/>
      <charset val="1"/>
    </font>
    <font>
      <b/>
      <sz val="13"/>
      <color theme="1"/>
      <name val="Noto Sans CJK SC"/>
      <family val="2"/>
      <charset val="1"/>
    </font>
    <font>
      <sz val="13"/>
      <color theme="0"/>
      <name val="微軟正黑體"/>
      <family val="2"/>
      <charset val="136"/>
    </font>
    <font>
      <b/>
      <sz val="13"/>
      <color theme="0"/>
      <name val="Noto Sans CJK SC"/>
      <family val="2"/>
      <charset val="136"/>
    </font>
    <font>
      <b/>
      <sz val="13"/>
      <color rgb="FFFF0000"/>
      <name val="微軟正黑體"/>
      <family val="2"/>
      <charset val="136"/>
    </font>
    <font>
      <b/>
      <sz val="11"/>
      <color theme="1"/>
      <name val="Noto Sans CJK SC"/>
      <family val="2"/>
      <charset val="1"/>
    </font>
    <font>
      <b/>
      <sz val="11"/>
      <color theme="1"/>
      <name val="Noto Sans CJK SC"/>
      <family val="2"/>
    </font>
    <font>
      <b/>
      <sz val="15"/>
      <color rgb="FFFFFFFF"/>
      <name val="Noto Sans CJK SC"/>
      <family val="2"/>
      <charset val="1"/>
    </font>
    <font>
      <sz val="12"/>
      <color rgb="FF1F3864"/>
      <name val="Noto Sans CJK SC"/>
      <family val="2"/>
      <charset val="1"/>
    </font>
    <font>
      <b/>
      <sz val="12"/>
      <color theme="0"/>
      <name val="Noto Sans CJK SC"/>
      <family val="2"/>
      <charset val="1"/>
    </font>
    <font>
      <b/>
      <sz val="11"/>
      <color rgb="FF1F3864"/>
      <name val="微軟正黑體"/>
      <family val="2"/>
      <charset val="136"/>
    </font>
    <font>
      <sz val="14"/>
      <color rgb="FFE07B39"/>
      <name val="Noto Sans CJK SC"/>
      <family val="2"/>
      <charset val="1"/>
    </font>
    <font>
      <sz val="11"/>
      <color theme="0"/>
      <name val="Noto Sans CJK SC"/>
      <family val="2"/>
    </font>
    <font>
      <b/>
      <sz val="12"/>
      <color theme="0"/>
      <name val="Noto Sans CJK SC"/>
      <family val="2"/>
    </font>
    <font>
      <b/>
      <sz val="12"/>
      <color rgb="FFFFFFFF"/>
      <name val="Noto Sans CJK SC"/>
      <family val="2"/>
      <charset val="1"/>
    </font>
    <font>
      <b/>
      <sz val="12"/>
      <color rgb="FFFFD966"/>
      <name val="Noto Sans CJK SC"/>
      <family val="2"/>
      <charset val="1"/>
    </font>
    <font>
      <sz val="10"/>
      <color rgb="FF333333"/>
      <name val="Noto Sans CJK SC"/>
      <family val="2"/>
      <charset val="1"/>
    </font>
    <font>
      <b/>
      <sz val="11"/>
      <color rgb="FF1F3864"/>
      <name val="Noto Sans CJK SC"/>
      <family val="2"/>
      <charset val="1"/>
    </font>
    <font>
      <sz val="10"/>
      <color rgb="FF555555"/>
      <name val="Noto Sans CJK SC"/>
      <family val="2"/>
      <charset val="1"/>
    </font>
    <font>
      <b/>
      <sz val="11"/>
      <color rgb="FF375623"/>
      <name val="微軟正黑體"/>
      <family val="2"/>
      <charset val="136"/>
    </font>
    <font>
      <b/>
      <sz val="13"/>
      <color rgb="FF0055CC"/>
      <name val="微軟正黑體"/>
      <family val="2"/>
      <charset val="136"/>
    </font>
    <font>
      <b/>
      <sz val="12"/>
      <color rgb="FF9B0000"/>
      <name val="微軟正黑體"/>
      <family val="2"/>
      <charset val="136"/>
    </font>
    <font>
      <sz val="9"/>
      <color rgb="FF375623"/>
      <name val="Noto Sans CJK SC"/>
      <family val="2"/>
      <charset val="1"/>
    </font>
    <font>
      <sz val="12"/>
      <color rgb="FF1F3864"/>
      <name val="微軟正黑體"/>
      <family val="2"/>
      <charset val="136"/>
    </font>
    <font>
      <b/>
      <sz val="12"/>
      <color rgb="FF1F3864"/>
      <name val="Noto Sans CJK SC"/>
      <family val="2"/>
      <charset val="1"/>
    </font>
    <font>
      <b/>
      <sz val="13"/>
      <color rgb="FF1F3864"/>
      <name val="微軟正黑體"/>
      <family val="2"/>
      <charset val="136"/>
    </font>
    <font>
      <b/>
      <sz val="13"/>
      <color rgb="FF9B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666666"/>
      <name val="Noto Sans CJK SC"/>
      <family val="2"/>
      <charset val="1"/>
    </font>
    <font>
      <b/>
      <sz val="16"/>
      <color theme="1"/>
      <name val="Noto Sans CJK SC"/>
      <family val="2"/>
      <charset val="1"/>
    </font>
    <font>
      <b/>
      <sz val="14"/>
      <color theme="1"/>
      <name val="Noto Sans CJK SC"/>
      <family val="2"/>
    </font>
    <font>
      <sz val="12"/>
      <color theme="1"/>
      <name val="Noto Sans CJK SC"/>
      <family val="2"/>
      <charset val="1"/>
    </font>
    <font>
      <sz val="16"/>
      <color theme="1"/>
      <name val="微軟正黑體"/>
      <family val="2"/>
      <charset val="136"/>
    </font>
    <font>
      <b/>
      <sz val="12"/>
      <color rgb="FF0070C0"/>
      <name val="微軟正黑體"/>
      <family val="2"/>
      <charset val="136"/>
    </font>
    <font>
      <b/>
      <sz val="14"/>
      <color rgb="FF0070C0"/>
      <name val="微軟正黑體"/>
      <family val="2"/>
      <charset val="136"/>
    </font>
    <font>
      <b/>
      <sz val="14"/>
      <color theme="0"/>
      <name val="Noto Sans HK Black"/>
      <family val="2"/>
      <charset val="136"/>
    </font>
    <font>
      <b/>
      <sz val="14"/>
      <color theme="1"/>
      <name val="Noto Sans HK Black"/>
      <family val="2"/>
      <charset val="136"/>
    </font>
    <font>
      <b/>
      <sz val="11"/>
      <color rgb="FF0070C0"/>
      <name val="微軟正黑體"/>
      <family val="2"/>
      <charset val="136"/>
    </font>
    <font>
      <sz val="14"/>
      <color theme="0"/>
      <name val="Noto Sans HK Black"/>
      <family val="2"/>
      <charset val="136"/>
    </font>
    <font>
      <sz val="12"/>
      <color theme="1"/>
      <name val="Noto Sans CJK SC"/>
      <family val="2"/>
    </font>
    <font>
      <b/>
      <sz val="18"/>
      <color rgb="FFD84315"/>
      <name val="Noto Sans CJK SC"/>
      <family val="2"/>
      <charset val="1"/>
    </font>
    <font>
      <sz val="14"/>
      <color rgb="FF002060"/>
      <name val="Noto Sans CJK SC"/>
      <family val="2"/>
      <charset val="1"/>
    </font>
    <font>
      <b/>
      <sz val="12"/>
      <color rgb="FFFFFFFF"/>
      <name val="微軟正黑體"/>
      <family val="2"/>
      <charset val="136"/>
    </font>
    <font>
      <b/>
      <sz val="12"/>
      <color rgb="FFFFFFFF"/>
      <name val="Noto Sans CJK SC"/>
      <family val="2"/>
    </font>
    <font>
      <sz val="11"/>
      <name val="Noto Sans CJK SC"/>
      <family val="2"/>
      <charset val="1"/>
    </font>
    <font>
      <sz val="11"/>
      <color rgb="FFFF0000"/>
      <name val="Noto Sans CJK SC"/>
      <family val="2"/>
    </font>
    <font>
      <b/>
      <sz val="16"/>
      <name val="Noto Sans CJK SC"/>
      <family val="2"/>
      <charset val="1"/>
    </font>
    <font>
      <b/>
      <sz val="12"/>
      <name val="微軟正黑體"/>
      <family val="2"/>
      <charset val="136"/>
    </font>
    <font>
      <b/>
      <sz val="16"/>
      <color rgb="FFFFFFFF"/>
      <name val="Noto Sans CJK SC"/>
      <family val="2"/>
      <charset val="136"/>
    </font>
    <font>
      <b/>
      <sz val="11"/>
      <color rgb="FF1B2A4A"/>
      <name val="Noto Sans CJK SC"/>
      <family val="2"/>
      <charset val="1"/>
    </font>
    <font>
      <b/>
      <sz val="11"/>
      <color rgb="FF1B2A4A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Noto Sans CJK SC"/>
      <family val="2"/>
      <charset val="1"/>
    </font>
    <font>
      <sz val="10"/>
      <name val="Noto Sans CJK SC"/>
      <family val="2"/>
    </font>
    <font>
      <i/>
      <sz val="9"/>
      <color rgb="FF757575"/>
      <name val="微軟正黑體"/>
      <family val="2"/>
      <charset val="136"/>
    </font>
    <font>
      <b/>
      <sz val="13"/>
      <color rgb="FFFFFFFF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0"/>
      <name val="微軟正黑體"/>
      <family val="2"/>
      <charset val="136"/>
    </font>
    <font>
      <b/>
      <sz val="11"/>
      <color rgb="FF212121"/>
      <name val="微軟正黑體"/>
      <family val="2"/>
      <charset val="136"/>
    </font>
    <font>
      <b/>
      <sz val="11"/>
      <color rgb="FF212121"/>
      <name val="Noto Sans CJK SC"/>
      <family val="2"/>
      <charset val="1"/>
    </font>
    <font>
      <b/>
      <sz val="11"/>
      <color rgb="FF4A148C"/>
      <name val="微軟正黑體"/>
      <family val="2"/>
      <charset val="136"/>
    </font>
    <font>
      <b/>
      <sz val="12"/>
      <name val="Noto Sans CJK SC"/>
      <family val="2"/>
      <charset val="1"/>
    </font>
    <font>
      <b/>
      <sz val="12"/>
      <color rgb="FFFF0000"/>
      <name val="微軟正黑體"/>
      <family val="2"/>
      <charset val="136"/>
    </font>
    <font>
      <b/>
      <sz val="12"/>
      <color rgb="FFFF0000"/>
      <name val="Noto Sans CJK SC"/>
      <family val="2"/>
    </font>
    <font>
      <b/>
      <sz val="12"/>
      <color theme="1"/>
      <name val="Noto Sans CJK SC"/>
      <family val="2"/>
    </font>
    <font>
      <b/>
      <sz val="16"/>
      <color rgb="FFFFFFFF"/>
      <name val="Noto Sans CJK SC"/>
      <family val="2"/>
      <charset val="1"/>
    </font>
    <font>
      <sz val="12"/>
      <color rgb="FF1F4E79"/>
      <name val="Noto Sans CJK SC"/>
      <family val="2"/>
      <charset val="1"/>
    </font>
    <font>
      <sz val="11"/>
      <color theme="1"/>
      <name val="jf open 粉圓 2.1"/>
      <family val="2"/>
      <charset val="136"/>
    </font>
    <font>
      <sz val="11"/>
      <name val="新細明體"/>
      <family val="1"/>
      <charset val="136"/>
    </font>
    <font>
      <sz val="11"/>
      <name val="jf open 粉圓 2.1"/>
      <family val="2"/>
      <charset val="136"/>
    </font>
    <font>
      <sz val="10"/>
      <color rgb="FFFFFFFF"/>
      <name val="新細明體"/>
      <family val="1"/>
      <charset val="136"/>
    </font>
    <font>
      <sz val="10"/>
      <color rgb="FFFFFFFF"/>
      <name val="Noto Sans CJK SC"/>
      <family val="2"/>
    </font>
    <font>
      <sz val="10"/>
      <color rgb="FFFFFFFF"/>
      <name val="Noto Sans CJK SC"/>
      <family val="2"/>
      <charset val="1"/>
    </font>
    <font>
      <b/>
      <sz val="10"/>
      <color theme="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2"/>
      <color rgb="FFC00000"/>
      <name val="Noto Sans CJK SC"/>
      <family val="2"/>
      <charset val="1"/>
    </font>
    <font>
      <b/>
      <sz val="11"/>
      <color rgb="FFFFFFFF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細明體"/>
      <family val="3"/>
      <charset val="136"/>
    </font>
    <font>
      <b/>
      <sz val="12"/>
      <color rgb="FF1F3864"/>
      <name val="Segoe UI Emoji"/>
      <family val="2"/>
    </font>
    <font>
      <b/>
      <sz val="12"/>
      <color rgb="FF1F3864"/>
      <name val="Arial"/>
      <family val="2"/>
    </font>
    <font>
      <b/>
      <sz val="12"/>
      <color rgb="FF1F3864"/>
      <name val="微軟正黑體"/>
      <family val="2"/>
      <charset val="136"/>
    </font>
    <font>
      <sz val="10"/>
      <color rgb="FF555555"/>
      <name val="微軟正黑體"/>
      <family val="2"/>
      <charset val="136"/>
    </font>
    <font>
      <b/>
      <sz val="12"/>
      <color rgb="FFFFFFFF"/>
      <name val="Segoe UI Emoji"/>
      <family val="2"/>
    </font>
    <font>
      <b/>
      <sz val="12"/>
      <color rgb="FFFFFFFF"/>
      <name val="Arial"/>
      <family val="2"/>
    </font>
    <font>
      <b/>
      <sz val="11"/>
      <color rgb="FFFFFFFF"/>
      <name val="Segoe UI Emoji"/>
      <family val="2"/>
    </font>
    <font>
      <b/>
      <sz val="11"/>
      <color rgb="FFFFFFFF"/>
      <name val="Arial"/>
      <family val="2"/>
    </font>
    <font>
      <b/>
      <sz val="16"/>
      <color rgb="FFFFFFFF"/>
      <name val="微軟正黑體"/>
      <family val="2"/>
      <charset val="136"/>
    </font>
    <font>
      <b/>
      <sz val="16"/>
      <color rgb="FFFFFFFF"/>
      <name val="Arial"/>
      <family val="2"/>
    </font>
  </fonts>
  <fills count="73">
    <fill>
      <patternFill patternType="none"/>
    </fill>
    <fill>
      <patternFill patternType="gray125"/>
    </fill>
    <fill>
      <patternFill patternType="darkGray">
        <fgColor rgb="FFDBEEF5"/>
        <bgColor rgb="FFE3F2FD"/>
      </patternFill>
    </fill>
    <fill>
      <patternFill patternType="solid">
        <fgColor rgb="FFFFFFFF"/>
        <bgColor rgb="FFFDF7EE"/>
      </patternFill>
    </fill>
    <fill>
      <patternFill patternType="darkGray">
        <fgColor rgb="FFFAB887"/>
        <bgColor rgb="FFFAC18F"/>
      </patternFill>
    </fill>
    <fill>
      <patternFill patternType="solid">
        <fgColor rgb="FFFAB887"/>
        <bgColor rgb="FFFAC18F"/>
      </patternFill>
    </fill>
    <fill>
      <patternFill patternType="darkGray">
        <fgColor rgb="FFFAB887"/>
        <bgColor rgb="FFFCA782"/>
      </patternFill>
    </fill>
    <fill>
      <patternFill patternType="darkGray">
        <fgColor rgb="FFFCA782"/>
        <bgColor rgb="FFE46D0B"/>
      </patternFill>
    </fill>
    <fill>
      <patternFill patternType="solid">
        <fgColor rgb="FF002060"/>
        <bgColor rgb="FF1A385E"/>
      </patternFill>
    </fill>
    <fill>
      <patternFill patternType="solid">
        <fgColor theme="3" tint="0.79979857783745845"/>
        <bgColor rgb="FFB8DEF2"/>
      </patternFill>
    </fill>
    <fill>
      <patternFill patternType="solid">
        <fgColor theme="4" tint="-0.249977111117893"/>
        <bgColor rgb="FF1F4D74"/>
      </patternFill>
    </fill>
    <fill>
      <patternFill patternType="solid">
        <fgColor theme="8" tint="0.79979857783745845"/>
        <bgColor rgb="FFE3F2FD"/>
      </patternFill>
    </fill>
    <fill>
      <patternFill patternType="solid">
        <fgColor theme="3" tint="-0.249977111117893"/>
        <bgColor rgb="FF1F4D74"/>
      </patternFill>
    </fill>
    <fill>
      <patternFill patternType="darkGray">
        <fgColor theme="8" tint="-0.499984740745262"/>
        <bgColor rgb="FF366393"/>
      </patternFill>
    </fill>
    <fill>
      <patternFill patternType="solid">
        <fgColor theme="4" tint="0.39957884456923126"/>
        <bgColor rgb="FF8FBDE2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4" tint="0.79989013336588644"/>
        <bgColor rgb="FFDBEEF5"/>
      </patternFill>
    </fill>
    <fill>
      <patternFill patternType="solid">
        <fgColor theme="1" tint="0.24948881496627703"/>
        <bgColor rgb="FF475C2D"/>
      </patternFill>
    </fill>
    <fill>
      <patternFill patternType="solid">
        <fgColor rgb="FFA86ED4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rgb="FFBE0000"/>
        <bgColor rgb="FFFF0000"/>
      </patternFill>
    </fill>
    <fill>
      <patternFill patternType="solid">
        <fgColor theme="1" tint="0.49967955565050204"/>
        <bgColor rgb="FF808080"/>
      </patternFill>
    </fill>
    <fill>
      <patternFill patternType="solid">
        <fgColor theme="9" tint="0.39957884456923126"/>
        <bgColor rgb="FFFAB887"/>
      </patternFill>
    </fill>
    <fill>
      <patternFill patternType="solid">
        <fgColor theme="4" tint="0.59987182226020086"/>
        <bgColor rgb="FFC6D9F1"/>
      </patternFill>
    </fill>
    <fill>
      <patternFill patternType="solid">
        <fgColor theme="7" tint="0.59968871120334488"/>
        <bgColor rgb="FFBFBFBF"/>
      </patternFill>
    </fill>
    <fill>
      <patternFill patternType="solid">
        <fgColor theme="7" tint="-0.249977111117893"/>
        <bgColor rgb="FF5A5A5A"/>
      </patternFill>
    </fill>
    <fill>
      <patternFill patternType="darkGray">
        <fgColor theme="1" tint="0.14999847407452621"/>
        <bgColor rgb="FF404040"/>
      </patternFill>
    </fill>
    <fill>
      <patternFill patternType="solid">
        <fgColor theme="9" tint="0.79979857783745845"/>
        <bgColor rgb="FFEBF1DE"/>
      </patternFill>
    </fill>
    <fill>
      <patternFill patternType="solid">
        <fgColor theme="7" tint="0.79979857783745845"/>
        <bgColor rgb="FFDCE6F2"/>
      </patternFill>
    </fill>
    <fill>
      <patternFill patternType="solid">
        <fgColor rgb="FFAAA5B5"/>
        <bgColor rgb="FF95B3D7"/>
      </patternFill>
    </fill>
    <fill>
      <patternFill patternType="solid">
        <fgColor rgb="FF808080"/>
        <bgColor rgb="FF7F7F7F"/>
      </patternFill>
    </fill>
    <fill>
      <patternFill patternType="solid">
        <fgColor theme="0" tint="-4.9989318521683403E-2"/>
        <bgColor rgb="FFF5F7EF"/>
      </patternFill>
    </fill>
    <fill>
      <patternFill patternType="solid">
        <fgColor rgb="FFF5F7EF"/>
        <bgColor rgb="FFF2F2F2"/>
      </patternFill>
    </fill>
    <fill>
      <patternFill patternType="darkGray">
        <fgColor rgb="FFFDF7EE"/>
        <bgColor rgb="FFF5F7EF"/>
      </patternFill>
    </fill>
    <fill>
      <patternFill patternType="solid">
        <fgColor rgb="FFF2F2F2"/>
        <bgColor rgb="FFF5F7EF"/>
      </patternFill>
    </fill>
    <fill>
      <patternFill patternType="darkGray">
        <fgColor rgb="FFCDC2DB"/>
        <bgColor rgb="FFD9D9D9"/>
      </patternFill>
    </fill>
    <fill>
      <patternFill patternType="darkGray">
        <fgColor theme="6" tint="-0.499984740745262"/>
        <bgColor rgb="FF5A5A5A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rgb="FFFFDDEB"/>
        <bgColor rgb="FFF2DCE4"/>
      </patternFill>
    </fill>
    <fill>
      <patternFill patternType="darkGray">
        <fgColor theme="9" tint="-0.499984740745262"/>
        <bgColor rgb="FF5A5A5A"/>
      </patternFill>
    </fill>
    <fill>
      <patternFill patternType="darkGray">
        <fgColor theme="3"/>
        <bgColor rgb="FF1A385E"/>
      </patternFill>
    </fill>
    <fill>
      <patternFill patternType="solid">
        <fgColor theme="9" tint="-0.249977111117893"/>
        <bgColor rgb="FFAA4308"/>
      </patternFill>
    </fill>
    <fill>
      <patternFill patternType="solid">
        <fgColor theme="3" tint="0.39957884456923126"/>
        <bgColor rgb="FF808080"/>
      </patternFill>
    </fill>
    <fill>
      <patternFill patternType="solid">
        <fgColor rgb="FFFFFF00"/>
        <bgColor rgb="FFFAC18F"/>
      </patternFill>
    </fill>
    <fill>
      <patternFill patternType="solid">
        <fgColor theme="8" tint="-0.249977111117893"/>
        <bgColor rgb="FF0D63C3"/>
      </patternFill>
    </fill>
    <fill>
      <patternFill patternType="solid">
        <fgColor theme="3" tint="-0.249977111117893"/>
        <bgColor rgb="FF1F4D74"/>
      </patternFill>
    </fill>
    <fill>
      <patternFill patternType="darkGray">
        <fgColor theme="3" tint="0.59968871120334488"/>
        <bgColor rgb="FF8FBDE2"/>
      </patternFill>
    </fill>
    <fill>
      <patternFill patternType="solid">
        <fgColor theme="8" tint="0.39957884456923126"/>
        <bgColor rgb="FF95B3D7"/>
      </patternFill>
    </fill>
    <fill>
      <patternFill patternType="solid">
        <fgColor rgb="FF0070C0"/>
        <bgColor rgb="FF0D63C3"/>
      </patternFill>
    </fill>
    <fill>
      <patternFill patternType="solid">
        <fgColor theme="1" tint="0.34968108157597583"/>
        <bgColor rgb="FF624978"/>
      </patternFill>
    </fill>
    <fill>
      <patternFill patternType="solid">
        <fgColor theme="5" tint="0.79979857783745845"/>
        <bgColor rgb="FFFFDDEB"/>
      </patternFill>
    </fill>
    <fill>
      <patternFill patternType="solid">
        <fgColor theme="9" tint="0.59968871120334488"/>
        <bgColor rgb="FFF2DCE4"/>
      </patternFill>
    </fill>
    <fill>
      <patternFill patternType="solid">
        <fgColor rgb="FF00B050"/>
        <bgColor rgb="FF32772E"/>
      </patternFill>
    </fill>
    <fill>
      <patternFill patternType="solid">
        <fgColor rgb="FF00B0F0"/>
        <bgColor rgb="FF0070C0"/>
      </patternFill>
    </fill>
    <fill>
      <patternFill patternType="darkGray">
        <fgColor rgb="FF20272C"/>
        <bgColor rgb="FF002060"/>
      </patternFill>
    </fill>
    <fill>
      <patternFill patternType="solid">
        <fgColor rgb="FFFAB887"/>
        <bgColor rgb="FFFAC18F"/>
      </patternFill>
    </fill>
    <fill>
      <patternFill patternType="solid">
        <fgColor rgb="FFFDF7EE"/>
        <bgColor rgb="FFF5F7EF"/>
      </patternFill>
    </fill>
    <fill>
      <patternFill patternType="solid">
        <fgColor rgb="FF32772E"/>
        <bgColor rgb="FF475C2D"/>
      </patternFill>
    </fill>
    <fill>
      <patternFill patternType="solid">
        <fgColor rgb="FFD1E6C6"/>
        <bgColor rgb="FFD9E3C1"/>
      </patternFill>
    </fill>
    <fill>
      <patternFill patternType="solid">
        <fgColor rgb="FF0D63C3"/>
        <bgColor rgb="FF0070C0"/>
      </patternFill>
    </fill>
    <fill>
      <patternFill patternType="solid">
        <fgColor rgb="FFE3F2FD"/>
        <bgColor rgb="FFDBEEF5"/>
      </patternFill>
    </fill>
    <fill>
      <patternFill patternType="solid">
        <fgColor rgb="FFB8DEF2"/>
        <bgColor rgb="FFC6D9F1"/>
      </patternFill>
    </fill>
    <fill>
      <patternFill patternType="solid">
        <fgColor rgb="FF4A148C"/>
        <bgColor rgb="FF7030A0"/>
      </patternFill>
    </fill>
    <fill>
      <patternFill patternType="mediumGray">
        <fgColor rgb="FFF2F2F2"/>
        <bgColor rgb="FFE6E0EC"/>
      </patternFill>
    </fill>
    <fill>
      <patternFill patternType="solid">
        <fgColor rgb="FFCDC2DB"/>
        <bgColor rgb="FFBFBFBF"/>
      </patternFill>
    </fill>
    <fill>
      <patternFill patternType="solid">
        <fgColor rgb="FF7030A0"/>
        <bgColor rgb="FF624978"/>
      </patternFill>
    </fill>
    <fill>
      <patternFill patternType="solid">
        <fgColor theme="0" tint="-0.249977111117893"/>
        <bgColor rgb="FFBDBDBD"/>
      </patternFill>
    </fill>
    <fill>
      <patternFill patternType="solid">
        <fgColor theme="7" tint="0.59978026673177287"/>
        <bgColor rgb="FFBFBFBF"/>
      </patternFill>
    </fill>
    <fill>
      <patternFill patternType="solid">
        <fgColor theme="5" tint="0.79979857783745845"/>
        <bgColor rgb="FFFFDDE8"/>
      </patternFill>
    </fill>
    <fill>
      <patternFill patternType="darkGray">
        <fgColor theme="6" tint="0.59978026673177287"/>
        <bgColor rgb="FFD1E6C6"/>
      </patternFill>
    </fill>
    <fill>
      <patternFill patternType="solid">
        <fgColor theme="4" tint="0.79979857783745845"/>
        <bgColor rgb="FFDBEEF4"/>
      </patternFill>
    </fill>
    <fill>
      <patternFill patternType="darkGray">
        <fgColor theme="2" tint="-9.9978637043366805E-2"/>
        <bgColor rgb="FFD6E5BF"/>
      </patternFill>
    </fill>
    <fill>
      <patternFill patternType="solid">
        <fgColor theme="0" tint="-0.34998626667073579"/>
        <bgColor rgb="FFB3A2C7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thin">
        <color theme="4" tint="0.79979857783745845"/>
      </left>
      <right style="thin">
        <color theme="4" tint="0.79979857783745845"/>
      </right>
      <top style="thin">
        <color theme="4" tint="0.79979857783745845"/>
      </top>
      <bottom style="thin">
        <color theme="4" tint="0.79979857783745845"/>
      </bottom>
      <diagonal/>
    </border>
    <border>
      <left style="thin">
        <color auto="1"/>
      </left>
      <right style="dotted">
        <color theme="1" tint="0.49967955565050204"/>
      </right>
      <top style="thin">
        <color auto="1"/>
      </top>
      <bottom style="dotted">
        <color theme="1" tint="0.49967955565050204"/>
      </bottom>
      <diagonal/>
    </border>
    <border>
      <left style="dotted">
        <color theme="1" tint="0.49967955565050204"/>
      </left>
      <right style="dotted">
        <color theme="1" tint="0.49967955565050204"/>
      </right>
      <top style="thin">
        <color auto="1"/>
      </top>
      <bottom style="dotted">
        <color theme="1" tint="0.49967955565050204"/>
      </bottom>
      <diagonal/>
    </border>
    <border>
      <left style="dotted">
        <color theme="1" tint="0.49967955565050204"/>
      </left>
      <right style="thin">
        <color auto="1"/>
      </right>
      <top style="thin">
        <color auto="1"/>
      </top>
      <bottom style="dotted">
        <color theme="1" tint="0.49967955565050204"/>
      </bottom>
      <diagonal/>
    </border>
    <border>
      <left style="thin">
        <color auto="1"/>
      </left>
      <right style="dotted">
        <color theme="1" tint="0.49967955565050204"/>
      </right>
      <top style="dotted">
        <color theme="1" tint="0.49967955565050204"/>
      </top>
      <bottom style="dotted">
        <color theme="1" tint="0.49967955565050204"/>
      </bottom>
      <diagonal/>
    </border>
    <border>
      <left style="dotted">
        <color theme="1" tint="0.49967955565050204"/>
      </left>
      <right style="dotted">
        <color theme="1" tint="0.49967955565050204"/>
      </right>
      <top style="dotted">
        <color theme="1" tint="0.49967955565050204"/>
      </top>
      <bottom style="dotted">
        <color theme="1" tint="0.49967955565050204"/>
      </bottom>
      <diagonal/>
    </border>
    <border>
      <left style="dotted">
        <color theme="1" tint="0.49967955565050204"/>
      </left>
      <right style="thin">
        <color auto="1"/>
      </right>
      <top style="dotted">
        <color theme="1" tint="0.49967955565050204"/>
      </top>
      <bottom style="dotted">
        <color theme="1" tint="0.49967955565050204"/>
      </bottom>
      <diagonal/>
    </border>
    <border>
      <left style="thin">
        <color auto="1"/>
      </left>
      <right style="dotted">
        <color theme="1" tint="0.49967955565050204"/>
      </right>
      <top style="dotted">
        <color theme="1" tint="0.49967955565050204"/>
      </top>
      <bottom style="thin">
        <color auto="1"/>
      </bottom>
      <diagonal/>
    </border>
    <border>
      <left style="dotted">
        <color theme="1" tint="0.49967955565050204"/>
      </left>
      <right style="dotted">
        <color theme="1" tint="0.49967955565050204"/>
      </right>
      <top style="dotted">
        <color theme="1" tint="0.49967955565050204"/>
      </top>
      <bottom style="thin">
        <color auto="1"/>
      </bottom>
      <diagonal/>
    </border>
    <border>
      <left style="dotted">
        <color theme="1" tint="0.49967955565050204"/>
      </left>
      <right style="thin">
        <color auto="1"/>
      </right>
      <top style="dotted">
        <color theme="1" tint="0.4996795556505020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 tint="0.49967955565050204"/>
      </right>
      <top style="medium">
        <color theme="1"/>
      </top>
      <bottom style="thin">
        <color theme="1" tint="0.49967955565050204"/>
      </bottom>
      <diagonal/>
    </border>
    <border>
      <left style="thin">
        <color theme="1" tint="0.49967955565050204"/>
      </left>
      <right style="medium">
        <color theme="1"/>
      </right>
      <top style="medium">
        <color theme="1"/>
      </top>
      <bottom style="thin">
        <color theme="1" tint="0.49967955565050204"/>
      </bottom>
      <diagonal/>
    </border>
    <border>
      <left style="medium">
        <color theme="1"/>
      </left>
      <right style="thin">
        <color theme="1" tint="0.49967955565050204"/>
      </right>
      <top style="thin">
        <color theme="1" tint="0.49967955565050204"/>
      </top>
      <bottom style="thin">
        <color theme="1" tint="0.49967955565050204"/>
      </bottom>
      <diagonal/>
    </border>
    <border>
      <left style="thin">
        <color theme="1" tint="0.49967955565050204"/>
      </left>
      <right style="medium">
        <color theme="1"/>
      </right>
      <top style="thin">
        <color theme="1" tint="0.49967955565050204"/>
      </top>
      <bottom style="thin">
        <color theme="1" tint="0.49967955565050204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1"/>
      </right>
      <top/>
      <bottom style="medium">
        <color theme="0" tint="-0.499984740745262"/>
      </bottom>
      <diagonal/>
    </border>
    <border>
      <left style="medium">
        <color theme="1"/>
      </left>
      <right style="thin">
        <color theme="1" tint="0.49967955565050204"/>
      </right>
      <top style="thin">
        <color theme="1" tint="0.49967955565050204"/>
      </top>
      <bottom style="medium">
        <color theme="1"/>
      </bottom>
      <diagonal/>
    </border>
    <border>
      <left style="thin">
        <color theme="1" tint="0.49967955565050204"/>
      </left>
      <right style="medium">
        <color theme="1"/>
      </right>
      <top style="thin">
        <color theme="1" tint="0.49967955565050204"/>
      </top>
      <bottom style="medium">
        <color theme="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1498764000366222"/>
      </right>
      <top/>
      <bottom/>
      <diagonal/>
    </border>
    <border>
      <left style="dashed">
        <color theme="1" tint="0.49967955565050204"/>
      </left>
      <right style="dashed">
        <color theme="1" tint="0.49967955565050204"/>
      </right>
      <top style="dashed">
        <color theme="1" tint="0.49967955565050204"/>
      </top>
      <bottom style="dashed">
        <color theme="1" tint="0.4996795556505020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6" tint="0.39957884456923126"/>
      </left>
      <right/>
      <top/>
      <bottom/>
      <diagonal/>
    </border>
    <border>
      <left style="dashed">
        <color theme="6" tint="0.79979857783745845"/>
      </left>
      <right style="dashed">
        <color theme="6" tint="0.79979857783745845"/>
      </right>
      <top style="medium">
        <color theme="0" tint="-0.499984740745262"/>
      </top>
      <bottom style="dashed">
        <color theme="6" tint="0.79979857783745845"/>
      </bottom>
      <diagonal/>
    </border>
    <border>
      <left style="medium">
        <color theme="6" tint="0.39957884456923126"/>
      </left>
      <right/>
      <top/>
      <bottom/>
      <diagonal/>
    </border>
    <border>
      <left/>
      <right style="medium">
        <color theme="6" tint="0.39957884456923126"/>
      </right>
      <top/>
      <bottom/>
      <diagonal/>
    </border>
    <border>
      <left style="medium">
        <color theme="6" tint="0.39948728904080327"/>
      </left>
      <right style="medium">
        <color theme="6" tint="0.39948728904080327"/>
      </right>
      <top/>
      <bottom/>
      <diagonal/>
    </border>
    <border>
      <left/>
      <right/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9" tint="0.79979857783745845"/>
      </left>
      <right style="thin">
        <color theme="9" tint="0.79979857783745845"/>
      </right>
      <top style="thin">
        <color theme="9" tint="0.79979857783745845"/>
      </top>
      <bottom style="thin">
        <color theme="9" tint="0.79979857783745845"/>
      </bottom>
      <diagonal/>
    </border>
    <border>
      <left style="thin">
        <color theme="0" tint="-0.34998626667073579"/>
      </left>
      <right style="dashed">
        <color theme="0" tint="-0.34998626667073579"/>
      </right>
      <top style="thin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/>
      <diagonal/>
    </border>
    <border>
      <left style="thin">
        <color theme="9" tint="0.79979857783745845"/>
      </left>
      <right style="thin">
        <color theme="9" tint="0.79979857783745845"/>
      </right>
      <top style="thin">
        <color theme="9" tint="0.79979857783745845"/>
      </top>
      <bottom/>
      <diagonal/>
    </border>
    <border>
      <left style="thin">
        <color theme="8" tint="0.59968871120334488"/>
      </left>
      <right style="thin">
        <color theme="8" tint="0.59968871120334488"/>
      </right>
      <top style="thin">
        <color theme="8" tint="0.59968871120334488"/>
      </top>
      <bottom style="thin">
        <color theme="8" tint="0.59968871120334488"/>
      </bottom>
      <diagonal/>
    </border>
    <border>
      <left style="thin">
        <color theme="8" tint="0.59968871120334488"/>
      </left>
      <right/>
      <top/>
      <bottom style="thin">
        <color theme="8" tint="0.59968871120334488"/>
      </bottom>
      <diagonal/>
    </border>
    <border>
      <left style="thin">
        <color theme="8" tint="0.59968871120334488"/>
      </left>
      <right/>
      <top style="thin">
        <color theme="8" tint="0.59968871120334488"/>
      </top>
      <bottom/>
      <diagonal/>
    </border>
    <border>
      <left style="medium">
        <color theme="3" tint="0.59968871120334488"/>
      </left>
      <right/>
      <top style="medium">
        <color theme="3" tint="0.59968871120334488"/>
      </top>
      <bottom/>
      <diagonal/>
    </border>
    <border>
      <left style="medium">
        <color theme="4" tint="0.59968871120334488"/>
      </left>
      <right style="medium">
        <color theme="4" tint="0.59968871120334488"/>
      </right>
      <top style="medium">
        <color theme="3" tint="0.59968871120334488"/>
      </top>
      <bottom/>
      <diagonal/>
    </border>
    <border>
      <left style="medium">
        <color theme="4" tint="0.59968871120334488"/>
      </left>
      <right/>
      <top style="medium">
        <color theme="3" tint="0.59968871120334488"/>
      </top>
      <bottom/>
      <diagonal/>
    </border>
    <border>
      <left/>
      <right style="medium">
        <color theme="3" tint="0.59968871120334488"/>
      </right>
      <top style="medium">
        <color theme="3" tint="0.59968871120334488"/>
      </top>
      <bottom/>
      <diagonal/>
    </border>
    <border>
      <left style="medium">
        <color theme="3" tint="0.59968871120334488"/>
      </left>
      <right/>
      <top/>
      <bottom style="medium">
        <color theme="3" tint="0.59968871120334488"/>
      </bottom>
      <diagonal/>
    </border>
    <border>
      <left/>
      <right/>
      <top/>
      <bottom style="medium">
        <color theme="3" tint="0.59968871120334488"/>
      </bottom>
      <diagonal/>
    </border>
    <border>
      <left style="medium">
        <color theme="4" tint="0.59968871120334488"/>
      </left>
      <right/>
      <top/>
      <bottom style="medium">
        <color theme="3" tint="0.59968871120334488"/>
      </bottom>
      <diagonal/>
    </border>
    <border>
      <left/>
      <right style="medium">
        <color theme="4" tint="0.59968871120334488"/>
      </right>
      <top/>
      <bottom style="medium">
        <color theme="3" tint="0.59968871120334488"/>
      </bottom>
      <diagonal/>
    </border>
    <border>
      <left/>
      <right style="medium">
        <color theme="3" tint="0.59968871120334488"/>
      </right>
      <top/>
      <bottom style="medium">
        <color theme="3" tint="0.59968871120334488"/>
      </bottom>
      <diagonal/>
    </border>
    <border>
      <left style="medium">
        <color theme="3" tint="0.59968871120334488"/>
      </left>
      <right/>
      <top/>
      <bottom/>
      <diagonal/>
    </border>
    <border>
      <left style="medium">
        <color theme="4" tint="0.59968871120334488"/>
      </left>
      <right/>
      <top/>
      <bottom/>
      <diagonal/>
    </border>
    <border>
      <left/>
      <right style="medium">
        <color theme="4" tint="0.59968871120334488"/>
      </right>
      <top/>
      <bottom/>
      <diagonal/>
    </border>
    <border>
      <left/>
      <right style="medium">
        <color theme="3" tint="0.59968871120334488"/>
      </right>
      <top/>
      <bottom/>
      <diagonal/>
    </border>
    <border>
      <left style="thick">
        <color theme="6" tint="0.39957884456923126"/>
      </left>
      <right/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404040"/>
      </bottom>
      <diagonal/>
    </border>
    <border>
      <left style="thin">
        <color theme="0" tint="-0.1498764000366222"/>
      </left>
      <right style="thin">
        <color rgb="FFFFFFFF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2">
    <xf numFmtId="0" fontId="0" fillId="0" borderId="0"/>
    <xf numFmtId="9" fontId="2" fillId="0" borderId="0">
      <alignment vertical="center"/>
    </xf>
    <xf numFmtId="0" fontId="2" fillId="0" borderId="0"/>
    <xf numFmtId="0" fontId="2" fillId="0" borderId="0"/>
    <xf numFmtId="0" fontId="2" fillId="0" borderId="0"/>
    <xf numFmtId="176" fontId="3" fillId="2" borderId="1">
      <alignment vertical="center"/>
    </xf>
    <xf numFmtId="176" fontId="4" fillId="3" borderId="1">
      <alignment vertical="center"/>
    </xf>
    <xf numFmtId="177" fontId="5" fillId="4" borderId="2">
      <alignment horizontal="center" vertical="center"/>
    </xf>
    <xf numFmtId="178" fontId="5" fillId="5" borderId="2">
      <alignment horizontal="center" vertical="center"/>
    </xf>
    <xf numFmtId="177" fontId="6" fillId="6" borderId="3">
      <alignment horizontal="center" vertical="center"/>
    </xf>
    <xf numFmtId="178" fontId="6" fillId="7" borderId="3">
      <alignment horizontal="center" vertical="center"/>
    </xf>
    <xf numFmtId="9" fontId="2" fillId="0" borderId="0">
      <alignment vertical="center"/>
    </xf>
  </cellStyleXfs>
  <cellXfs count="583">
    <xf numFmtId="0" fontId="0" fillId="0" borderId="0" xfId="0"/>
    <xf numFmtId="0" fontId="68" fillId="41" borderId="47" xfId="0" applyFont="1" applyFill="1" applyBorder="1" applyAlignment="1">
      <alignment horizontal="center" vertical="center"/>
    </xf>
    <xf numFmtId="0" fontId="8" fillId="9" borderId="0" xfId="0" applyFont="1" applyFill="1"/>
    <xf numFmtId="179" fontId="9" fillId="9" borderId="0" xfId="0" applyNumberFormat="1" applyFont="1" applyFill="1"/>
    <xf numFmtId="180" fontId="9" fillId="9" borderId="0" xfId="0" applyNumberFormat="1" applyFont="1" applyFill="1"/>
    <xf numFmtId="0" fontId="10" fillId="9" borderId="0" xfId="0" applyFont="1" applyFill="1"/>
    <xf numFmtId="0" fontId="9" fillId="9" borderId="0" xfId="0" applyFont="1" applyFill="1"/>
    <xf numFmtId="0" fontId="9" fillId="0" borderId="0" xfId="0" applyFont="1"/>
    <xf numFmtId="0" fontId="12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181" fontId="16" fillId="11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181" fontId="9" fillId="11" borderId="0" xfId="0" applyNumberFormat="1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9" fillId="14" borderId="0" xfId="0" applyFont="1" applyFill="1"/>
    <xf numFmtId="0" fontId="8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9" fontId="2" fillId="15" borderId="0" xfId="1" applyFill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9" fillId="11" borderId="0" xfId="0" applyFont="1" applyFill="1"/>
    <xf numFmtId="1" fontId="20" fillId="11" borderId="4" xfId="0" applyNumberFormat="1" applyFont="1" applyFill="1" applyBorder="1" applyAlignment="1">
      <alignment horizontal="center" vertical="center"/>
    </xf>
    <xf numFmtId="0" fontId="21" fillId="0" borderId="0" xfId="0" applyFont="1"/>
    <xf numFmtId="1" fontId="0" fillId="0" borderId="0" xfId="0" applyNumberFormat="1"/>
    <xf numFmtId="0" fontId="22" fillId="0" borderId="5" xfId="0" applyFont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  <xf numFmtId="9" fontId="16" fillId="0" borderId="6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9" fontId="16" fillId="0" borderId="9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/>
    </xf>
    <xf numFmtId="9" fontId="16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9" fontId="13" fillId="10" borderId="0" xfId="0" applyNumberFormat="1" applyFont="1" applyFill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" fontId="16" fillId="16" borderId="6" xfId="0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" fontId="16" fillId="16" borderId="9" xfId="0" applyNumberFormat="1" applyFont="1" applyFill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1" fontId="16" fillId="16" borderId="12" xfId="0" applyNumberFormat="1" applyFont="1" applyFill="1" applyBorder="1" applyAlignment="1">
      <alignment horizontal="center" vertical="center"/>
    </xf>
    <xf numFmtId="1" fontId="25" fillId="0" borderId="12" xfId="0" applyNumberFormat="1" applyFont="1" applyBorder="1" applyAlignment="1">
      <alignment horizontal="center" vertical="center" wrapText="1"/>
    </xf>
    <xf numFmtId="0" fontId="16" fillId="16" borderId="6" xfId="0" applyFont="1" applyFill="1" applyBorder="1" applyAlignment="1">
      <alignment horizontal="center" vertical="center"/>
    </xf>
    <xf numFmtId="182" fontId="25" fillId="0" borderId="6" xfId="0" applyNumberFormat="1" applyFont="1" applyBorder="1" applyAlignment="1">
      <alignment horizontal="center" vertical="center" wrapText="1"/>
    </xf>
    <xf numFmtId="182" fontId="25" fillId="0" borderId="9" xfId="0" applyNumberFormat="1" applyFont="1" applyBorder="1" applyAlignment="1">
      <alignment horizontal="center" vertical="center" wrapText="1"/>
    </xf>
    <xf numFmtId="182" fontId="25" fillId="0" borderId="12" xfId="0" applyNumberFormat="1" applyFont="1" applyBorder="1" applyAlignment="1">
      <alignment horizontal="center" vertical="center" wrapText="1"/>
    </xf>
    <xf numFmtId="10" fontId="16" fillId="0" borderId="6" xfId="0" applyNumberFormat="1" applyFont="1" applyBorder="1" applyAlignment="1">
      <alignment horizontal="center" vertical="center"/>
    </xf>
    <xf numFmtId="10" fontId="16" fillId="0" borderId="9" xfId="0" applyNumberFormat="1" applyFont="1" applyBorder="1" applyAlignment="1">
      <alignment horizontal="center" vertical="center"/>
    </xf>
    <xf numFmtId="10" fontId="16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9" fillId="0" borderId="0" xfId="3" applyFont="1"/>
    <xf numFmtId="0" fontId="26" fillId="3" borderId="0" xfId="3" applyFont="1" applyFill="1" applyAlignment="1">
      <alignment vertical="center"/>
    </xf>
    <xf numFmtId="0" fontId="26" fillId="0" borderId="0" xfId="3" applyFont="1" applyAlignment="1">
      <alignment vertical="center"/>
    </xf>
    <xf numFmtId="2" fontId="27" fillId="0" borderId="0" xfId="5" applyNumberFormat="1" applyFont="1" applyFill="1" applyBorder="1" applyAlignment="1">
      <alignment horizontal="center"/>
    </xf>
    <xf numFmtId="0" fontId="26" fillId="17" borderId="0" xfId="3" applyFont="1" applyFill="1" applyAlignment="1">
      <alignment vertical="center"/>
    </xf>
    <xf numFmtId="0" fontId="26" fillId="17" borderId="0" xfId="3" applyFont="1" applyFill="1" applyAlignment="1">
      <alignment horizontal="center" vertical="center"/>
    </xf>
    <xf numFmtId="181" fontId="26" fillId="17" borderId="15" xfId="3" applyNumberFormat="1" applyFont="1" applyFill="1" applyBorder="1" applyAlignment="1">
      <alignment vertical="center"/>
    </xf>
    <xf numFmtId="2" fontId="28" fillId="18" borderId="16" xfId="5" applyNumberFormat="1" applyFont="1" applyFill="1" applyBorder="1" applyAlignment="1">
      <alignment horizontal="center"/>
    </xf>
    <xf numFmtId="2" fontId="29" fillId="18" borderId="17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30" fillId="17" borderId="0" xfId="3" applyFont="1" applyFill="1" applyAlignment="1">
      <alignment vertical="center"/>
    </xf>
    <xf numFmtId="0" fontId="30" fillId="17" borderId="0" xfId="3" applyFont="1" applyFill="1" applyAlignment="1">
      <alignment horizontal="left" vertical="center"/>
    </xf>
    <xf numFmtId="181" fontId="26" fillId="17" borderId="15" xfId="3" applyNumberFormat="1" applyFont="1" applyFill="1" applyBorder="1" applyAlignment="1">
      <alignment horizontal="center" vertical="center"/>
    </xf>
    <xf numFmtId="2" fontId="28" fillId="19" borderId="18" xfId="7" applyNumberFormat="1" applyFont="1" applyFill="1" applyBorder="1" applyAlignment="1">
      <alignment horizontal="center"/>
    </xf>
    <xf numFmtId="2" fontId="31" fillId="19" borderId="19" xfId="5" applyNumberFormat="1" applyFont="1" applyFill="1" applyBorder="1" applyAlignment="1">
      <alignment horizontal="center"/>
    </xf>
    <xf numFmtId="2" fontId="31" fillId="0" borderId="0" xfId="5" applyNumberFormat="1" applyFont="1" applyFill="1" applyBorder="1" applyAlignment="1">
      <alignment horizontal="center"/>
    </xf>
    <xf numFmtId="0" fontId="9" fillId="3" borderId="0" xfId="3" applyFont="1" applyFill="1"/>
    <xf numFmtId="0" fontId="26" fillId="17" borderId="20" xfId="3" applyFont="1" applyFill="1" applyBorder="1" applyAlignment="1">
      <alignment vertical="center"/>
    </xf>
    <xf numFmtId="0" fontId="26" fillId="17" borderId="20" xfId="3" applyFont="1" applyFill="1" applyBorder="1" applyAlignment="1">
      <alignment horizontal="center" vertical="center"/>
    </xf>
    <xf numFmtId="0" fontId="26" fillId="17" borderId="21" xfId="3" applyFont="1" applyFill="1" applyBorder="1" applyAlignment="1">
      <alignment vertical="center"/>
    </xf>
    <xf numFmtId="2" fontId="28" fillId="20" borderId="22" xfId="9" applyNumberFormat="1" applyFont="1" applyFill="1" applyBorder="1" applyAlignment="1">
      <alignment horizontal="center"/>
    </xf>
    <xf numFmtId="2" fontId="29" fillId="20" borderId="23" xfId="5" applyNumberFormat="1" applyFont="1" applyFill="1" applyBorder="1" applyAlignment="1">
      <alignment horizontal="center"/>
    </xf>
    <xf numFmtId="0" fontId="32" fillId="21" borderId="24" xfId="3" applyFont="1" applyFill="1" applyBorder="1" applyAlignment="1">
      <alignment vertical="center"/>
    </xf>
    <xf numFmtId="0" fontId="33" fillId="21" borderId="25" xfId="3" applyFont="1" applyFill="1" applyBorder="1" applyAlignment="1">
      <alignment vertical="center"/>
    </xf>
    <xf numFmtId="0" fontId="32" fillId="21" borderId="26" xfId="3" applyFont="1" applyFill="1" applyBorder="1" applyAlignment="1">
      <alignment vertical="center"/>
    </xf>
    <xf numFmtId="0" fontId="32" fillId="19" borderId="24" xfId="3" applyFont="1" applyFill="1" applyBorder="1" applyAlignment="1">
      <alignment vertical="center"/>
    </xf>
    <xf numFmtId="0" fontId="32" fillId="19" borderId="25" xfId="3" applyFont="1" applyFill="1" applyBorder="1" applyAlignment="1">
      <alignment vertical="center"/>
    </xf>
    <xf numFmtId="0" fontId="32" fillId="19" borderId="25" xfId="3" applyFont="1" applyFill="1" applyBorder="1"/>
    <xf numFmtId="0" fontId="33" fillId="19" borderId="24" xfId="3" applyFont="1" applyFill="1" applyBorder="1" applyAlignment="1">
      <alignment vertical="center"/>
    </xf>
    <xf numFmtId="0" fontId="33" fillId="19" borderId="24" xfId="3" applyFont="1" applyFill="1" applyBorder="1" applyAlignment="1">
      <alignment horizontal="center" vertical="center"/>
    </xf>
    <xf numFmtId="0" fontId="8" fillId="22" borderId="27" xfId="3" applyFont="1" applyFill="1" applyBorder="1" applyAlignment="1">
      <alignment horizontal="center" vertical="center"/>
    </xf>
    <xf numFmtId="0" fontId="10" fillId="23" borderId="24" xfId="3" applyFont="1" applyFill="1" applyBorder="1" applyAlignment="1">
      <alignment horizontal="center" vertical="center"/>
    </xf>
    <xf numFmtId="0" fontId="9" fillId="24" borderId="24" xfId="3" applyFont="1" applyFill="1" applyBorder="1" applyAlignment="1">
      <alignment vertical="center"/>
    </xf>
    <xf numFmtId="0" fontId="8" fillId="24" borderId="26" xfId="3" applyFont="1" applyFill="1" applyBorder="1" applyAlignment="1">
      <alignment horizontal="left" vertical="center"/>
    </xf>
    <xf numFmtId="0" fontId="9" fillId="24" borderId="25" xfId="3" applyFont="1" applyFill="1" applyBorder="1" applyAlignment="1">
      <alignment horizontal="center" vertical="center"/>
    </xf>
    <xf numFmtId="0" fontId="33" fillId="25" borderId="25" xfId="3" applyFont="1" applyFill="1" applyBorder="1" applyAlignment="1">
      <alignment horizontal="center" vertical="center"/>
    </xf>
    <xf numFmtId="0" fontId="34" fillId="26" borderId="28" xfId="3" applyFont="1" applyFill="1" applyBorder="1" applyAlignment="1">
      <alignment horizontal="center" vertical="center"/>
    </xf>
    <xf numFmtId="0" fontId="36" fillId="26" borderId="28" xfId="3" applyFont="1" applyFill="1" applyBorder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8" fillId="15" borderId="29" xfId="3" applyFont="1" applyFill="1" applyBorder="1" applyAlignment="1">
      <alignment horizontal="center" vertical="center"/>
    </xf>
    <xf numFmtId="0" fontId="8" fillId="15" borderId="0" xfId="3" applyFont="1" applyFill="1" applyAlignment="1">
      <alignment horizontal="center" vertical="center"/>
    </xf>
    <xf numFmtId="0" fontId="9" fillId="15" borderId="29" xfId="3" applyFont="1" applyFill="1" applyBorder="1" applyAlignment="1">
      <alignment horizontal="center" vertical="center" wrapText="1"/>
    </xf>
    <xf numFmtId="0" fontId="9" fillId="15" borderId="0" xfId="3" applyFont="1" applyFill="1" applyAlignment="1">
      <alignment horizontal="center" vertical="center" wrapText="1"/>
    </xf>
    <xf numFmtId="0" fontId="8" fillId="15" borderId="0" xfId="3" applyFont="1" applyFill="1" applyAlignment="1">
      <alignment horizontal="center" vertical="center" wrapText="1"/>
    </xf>
    <xf numFmtId="0" fontId="8" fillId="15" borderId="30" xfId="3" applyFont="1" applyFill="1" applyBorder="1" applyAlignment="1">
      <alignment horizontal="center" vertical="center"/>
    </xf>
    <xf numFmtId="0" fontId="8" fillId="27" borderId="31" xfId="3" applyFont="1" applyFill="1" applyBorder="1" applyAlignment="1">
      <alignment horizontal="center" vertical="center"/>
    </xf>
    <xf numFmtId="0" fontId="8" fillId="16" borderId="29" xfId="3" applyFont="1" applyFill="1" applyBorder="1" applyAlignment="1">
      <alignment horizontal="center" vertical="center"/>
    </xf>
    <xf numFmtId="0" fontId="8" fillId="28" borderId="29" xfId="3" applyFont="1" applyFill="1" applyBorder="1" applyAlignment="1">
      <alignment horizontal="center" vertical="center"/>
    </xf>
    <xf numFmtId="0" fontId="8" fillId="28" borderId="30" xfId="3" applyFont="1" applyFill="1" applyBorder="1" applyAlignment="1">
      <alignment horizontal="center" vertical="center"/>
    </xf>
    <xf numFmtId="0" fontId="37" fillId="28" borderId="30" xfId="3" applyFont="1" applyFill="1" applyBorder="1" applyAlignment="1">
      <alignment horizontal="center" vertical="center"/>
    </xf>
    <xf numFmtId="0" fontId="8" fillId="29" borderId="30" xfId="3" applyFont="1" applyFill="1" applyBorder="1" applyAlignment="1">
      <alignment horizontal="center" vertical="center"/>
    </xf>
    <xf numFmtId="0" fontId="38" fillId="30" borderId="0" xfId="3" applyFont="1" applyFill="1" applyAlignment="1">
      <alignment horizontal="center" vertical="center"/>
    </xf>
    <xf numFmtId="0" fontId="40" fillId="30" borderId="0" xfId="3" applyFont="1" applyFill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1" borderId="29" xfId="3" applyFont="1" applyFill="1" applyBorder="1" applyAlignment="1">
      <alignment horizontal="center" vertical="center"/>
    </xf>
    <xf numFmtId="0" fontId="8" fillId="31" borderId="0" xfId="3" applyFont="1" applyFill="1" applyAlignment="1">
      <alignment horizontal="center" vertical="center"/>
    </xf>
    <xf numFmtId="49" fontId="9" fillId="0" borderId="32" xfId="3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178" fontId="9" fillId="32" borderId="30" xfId="3" applyNumberFormat="1" applyFont="1" applyFill="1" applyBorder="1" applyAlignment="1">
      <alignment horizontal="center" vertical="center"/>
    </xf>
    <xf numFmtId="178" fontId="9" fillId="33" borderId="31" xfId="3" applyNumberFormat="1" applyFont="1" applyFill="1" applyBorder="1" applyAlignment="1">
      <alignment horizontal="center" vertical="center"/>
    </xf>
    <xf numFmtId="178" fontId="9" fillId="34" borderId="29" xfId="3" applyNumberFormat="1" applyFont="1" applyFill="1" applyBorder="1" applyAlignment="1">
      <alignment horizontal="center" vertical="center"/>
    </xf>
    <xf numFmtId="183" fontId="9" fillId="31" borderId="29" xfId="3" applyNumberFormat="1" applyFont="1" applyFill="1" applyBorder="1" applyAlignment="1">
      <alignment horizontal="center" vertical="center"/>
    </xf>
    <xf numFmtId="178" fontId="9" fillId="31" borderId="30" xfId="3" applyNumberFormat="1" applyFont="1" applyFill="1" applyBorder="1" applyAlignment="1">
      <alignment horizontal="center" vertical="center"/>
    </xf>
    <xf numFmtId="0" fontId="42" fillId="0" borderId="30" xfId="3" applyFont="1" applyBorder="1" applyAlignment="1">
      <alignment horizontal="center" vertical="center"/>
    </xf>
    <xf numFmtId="178" fontId="9" fillId="35" borderId="30" xfId="3" applyNumberFormat="1" applyFont="1" applyFill="1" applyBorder="1" applyAlignment="1">
      <alignment horizontal="center" vertical="center"/>
    </xf>
    <xf numFmtId="184" fontId="9" fillId="3" borderId="33" xfId="0" applyNumberFormat="1" applyFont="1" applyFill="1" applyBorder="1" applyAlignment="1">
      <alignment horizontal="center" vertical="center" shrinkToFit="1"/>
    </xf>
    <xf numFmtId="185" fontId="9" fillId="3" borderId="33" xfId="0" applyNumberFormat="1" applyFont="1" applyFill="1" applyBorder="1" applyAlignment="1">
      <alignment horizontal="center" vertical="center" shrinkToFit="1"/>
    </xf>
    <xf numFmtId="0" fontId="8" fillId="31" borderId="29" xfId="3" applyFont="1" applyFill="1" applyBorder="1" applyAlignment="1">
      <alignment horizontal="center" vertical="center"/>
    </xf>
    <xf numFmtId="185" fontId="43" fillId="3" borderId="33" xfId="0" applyNumberFormat="1" applyFont="1" applyFill="1" applyBorder="1" applyAlignment="1">
      <alignment horizontal="center" vertical="center" shrinkToFit="1"/>
    </xf>
    <xf numFmtId="185" fontId="20" fillId="3" borderId="33" xfId="0" applyNumberFormat="1" applyFont="1" applyFill="1" applyBorder="1" applyAlignment="1">
      <alignment horizontal="center" vertical="center" shrinkToFit="1"/>
    </xf>
    <xf numFmtId="0" fontId="8" fillId="24" borderId="34" xfId="3" applyFont="1" applyFill="1" applyBorder="1" applyAlignment="1">
      <alignment horizontal="center" vertical="center"/>
    </xf>
    <xf numFmtId="0" fontId="9" fillId="24" borderId="35" xfId="3" applyFont="1" applyFill="1" applyBorder="1" applyAlignment="1">
      <alignment vertical="center"/>
    </xf>
    <xf numFmtId="0" fontId="9" fillId="24" borderId="36" xfId="3" applyFont="1" applyFill="1" applyBorder="1" applyAlignment="1">
      <alignment vertical="center"/>
    </xf>
    <xf numFmtId="0" fontId="9" fillId="24" borderId="35" xfId="3" applyFont="1" applyFill="1" applyBorder="1" applyAlignment="1">
      <alignment horizontal="center" vertical="center"/>
    </xf>
    <xf numFmtId="178" fontId="9" fillId="24" borderId="35" xfId="3" applyNumberFormat="1" applyFont="1" applyFill="1" applyBorder="1" applyAlignment="1">
      <alignment horizontal="center" vertical="center"/>
    </xf>
    <xf numFmtId="183" fontId="9" fillId="24" borderId="35" xfId="3" applyNumberFormat="1" applyFont="1" applyFill="1" applyBorder="1" applyAlignment="1">
      <alignment horizontal="center" vertical="center"/>
    </xf>
    <xf numFmtId="181" fontId="9" fillId="24" borderId="36" xfId="3" applyNumberFormat="1" applyFont="1" applyFill="1" applyBorder="1" applyAlignment="1">
      <alignment horizontal="center" vertical="center"/>
    </xf>
    <xf numFmtId="181" fontId="9" fillId="0" borderId="0" xfId="3" applyNumberFormat="1" applyFont="1" applyAlignment="1">
      <alignment horizontal="center" vertical="center"/>
    </xf>
    <xf numFmtId="186" fontId="9" fillId="0" borderId="0" xfId="3" applyNumberFormat="1" applyFont="1"/>
    <xf numFmtId="0" fontId="12" fillId="21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3" fillId="19" borderId="37" xfId="0" applyFont="1" applyFill="1" applyBorder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  <xf numFmtId="0" fontId="6" fillId="19" borderId="38" xfId="3" applyFont="1" applyFill="1" applyBorder="1" applyAlignment="1">
      <alignment horizontal="center" vertical="center"/>
    </xf>
    <xf numFmtId="0" fontId="13" fillId="19" borderId="39" xfId="0" applyFont="1" applyFill="1" applyBorder="1" applyAlignment="1">
      <alignment horizontal="center" vertical="center" wrapText="1"/>
    </xf>
    <xf numFmtId="0" fontId="14" fillId="19" borderId="0" xfId="0" applyFont="1" applyFill="1" applyAlignment="1">
      <alignment horizontal="center" vertical="center" wrapText="1"/>
    </xf>
    <xf numFmtId="0" fontId="13" fillId="19" borderId="40" xfId="0" applyFont="1" applyFill="1" applyBorder="1" applyAlignment="1">
      <alignment horizontal="center" vertical="center" wrapText="1"/>
    </xf>
    <xf numFmtId="0" fontId="12" fillId="19" borderId="39" xfId="0" applyFont="1" applyFill="1" applyBorder="1" applyAlignment="1">
      <alignment horizontal="center" vertical="center" wrapText="1"/>
    </xf>
    <xf numFmtId="0" fontId="12" fillId="19" borderId="40" xfId="0" applyFont="1" applyFill="1" applyBorder="1" applyAlignment="1">
      <alignment horizontal="center" vertical="center" wrapText="1"/>
    </xf>
    <xf numFmtId="0" fontId="12" fillId="36" borderId="41" xfId="0" applyFont="1" applyFill="1" applyBorder="1" applyAlignment="1">
      <alignment horizontal="center" vertical="center" wrapText="1"/>
    </xf>
    <xf numFmtId="0" fontId="13" fillId="36" borderId="41" xfId="0" applyFont="1" applyFill="1" applyBorder="1" applyAlignment="1">
      <alignment horizontal="center" vertical="center" wrapText="1"/>
    </xf>
    <xf numFmtId="0" fontId="12" fillId="36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51" fillId="31" borderId="0" xfId="0" applyFont="1" applyFill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2" fillId="31" borderId="40" xfId="0" applyFont="1" applyFill="1" applyBorder="1" applyAlignment="1">
      <alignment horizontal="center" vertical="center"/>
    </xf>
    <xf numFmtId="0" fontId="31" fillId="31" borderId="40" xfId="0" applyFont="1" applyFill="1" applyBorder="1" applyAlignment="1">
      <alignment horizontal="center" vertical="center"/>
    </xf>
    <xf numFmtId="0" fontId="53" fillId="37" borderId="41" xfId="0" applyFont="1" applyFill="1" applyBorder="1" applyAlignment="1">
      <alignment horizontal="center" vertical="center"/>
    </xf>
    <xf numFmtId="2" fontId="54" fillId="15" borderId="41" xfId="0" applyNumberFormat="1" applyFont="1" applyFill="1" applyBorder="1" applyAlignment="1">
      <alignment horizontal="center" vertical="center"/>
    </xf>
    <xf numFmtId="178" fontId="16" fillId="38" borderId="41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178" fontId="9" fillId="0" borderId="0" xfId="0" applyNumberFormat="1" applyFont="1"/>
    <xf numFmtId="0" fontId="31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9" fillId="19" borderId="0" xfId="0" applyFont="1" applyFill="1"/>
    <xf numFmtId="0" fontId="12" fillId="19" borderId="0" xfId="0" applyFont="1" applyFill="1" applyAlignment="1">
      <alignment horizontal="center" vertical="center"/>
    </xf>
    <xf numFmtId="178" fontId="29" fillId="19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33" fillId="40" borderId="0" xfId="0" applyFont="1" applyFill="1" applyAlignment="1">
      <alignment horizontal="center" vertical="center"/>
    </xf>
    <xf numFmtId="187" fontId="32" fillId="40" borderId="0" xfId="0" applyNumberFormat="1" applyFont="1" applyFill="1" applyAlignment="1">
      <alignment horizontal="center" vertical="center"/>
    </xf>
    <xf numFmtId="0" fontId="57" fillId="22" borderId="0" xfId="0" applyFont="1" applyFill="1" applyAlignment="1" applyProtection="1">
      <alignment horizontal="center" vertical="center" wrapText="1"/>
      <protection locked="0"/>
    </xf>
    <xf numFmtId="0" fontId="57" fillId="22" borderId="0" xfId="0" applyFont="1" applyFill="1" applyAlignment="1" applyProtection="1">
      <alignment horizontal="center" vertical="center" shrinkToFit="1"/>
      <protection locked="0"/>
    </xf>
    <xf numFmtId="0" fontId="57" fillId="22" borderId="0" xfId="0" applyFont="1" applyFill="1" applyAlignment="1" applyProtection="1">
      <alignment horizontal="center" vertical="center" wrapText="1" shrinkToFit="1"/>
      <protection locked="0"/>
    </xf>
    <xf numFmtId="0" fontId="15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61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horizontal="center" vertical="center"/>
      <protection locked="0"/>
    </xf>
    <xf numFmtId="1" fontId="63" fillId="0" borderId="0" xfId="0" applyNumberFormat="1" applyFont="1" applyAlignment="1" applyProtection="1">
      <alignment horizontal="center" vertical="center"/>
      <protection locked="0"/>
    </xf>
    <xf numFmtId="188" fontId="64" fillId="0" borderId="0" xfId="0" applyNumberFormat="1" applyFont="1" applyAlignment="1" applyProtection="1">
      <alignment horizontal="center" vertical="center" shrinkToFit="1"/>
      <protection locked="0"/>
    </xf>
    <xf numFmtId="188" fontId="65" fillId="0" borderId="0" xfId="0" applyNumberFormat="1" applyFont="1" applyAlignment="1">
      <alignment horizontal="center" vertical="center"/>
    </xf>
    <xf numFmtId="178" fontId="66" fillId="0" borderId="0" xfId="1" applyNumberFormat="1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68" fillId="41" borderId="43" xfId="0" applyFont="1" applyFill="1" applyBorder="1" applyAlignment="1">
      <alignment horizontal="center" vertical="center"/>
    </xf>
    <xf numFmtId="0" fontId="69" fillId="41" borderId="43" xfId="0" applyFont="1" applyFill="1" applyBorder="1" applyAlignment="1">
      <alignment horizontal="center" vertical="center"/>
    </xf>
    <xf numFmtId="2" fontId="63" fillId="0" borderId="0" xfId="0" applyNumberFormat="1" applyFont="1" applyAlignment="1" applyProtection="1">
      <alignment horizontal="center" vertical="center"/>
      <protection locked="0"/>
    </xf>
    <xf numFmtId="0" fontId="71" fillId="31" borderId="43" xfId="0" applyFont="1" applyFill="1" applyBorder="1" applyAlignment="1">
      <alignment horizontal="center" vertical="center"/>
    </xf>
    <xf numFmtId="188" fontId="66" fillId="0" borderId="43" xfId="0" applyNumberFormat="1" applyFont="1" applyBorder="1" applyAlignment="1">
      <alignment horizontal="center" vertical="center"/>
    </xf>
    <xf numFmtId="181" fontId="66" fillId="0" borderId="43" xfId="0" applyNumberFormat="1" applyFont="1" applyBorder="1" applyAlignment="1">
      <alignment vertical="center"/>
    </xf>
    <xf numFmtId="188" fontId="64" fillId="0" borderId="44" xfId="0" applyNumberFormat="1" applyFont="1" applyBorder="1" applyAlignment="1" applyProtection="1">
      <alignment horizontal="center" vertical="center" shrinkToFit="1"/>
      <protection locked="0"/>
    </xf>
    <xf numFmtId="0" fontId="72" fillId="22" borderId="0" xfId="0" applyFont="1" applyFill="1" applyAlignment="1" applyProtection="1">
      <alignment horizontal="center" vertical="center"/>
      <protection locked="0"/>
    </xf>
    <xf numFmtId="1" fontId="65" fillId="22" borderId="0" xfId="0" applyNumberFormat="1" applyFont="1" applyFill="1" applyAlignment="1" applyProtection="1">
      <alignment horizontal="center" vertical="center"/>
      <protection locked="0"/>
    </xf>
    <xf numFmtId="188" fontId="65" fillId="22" borderId="0" xfId="0" applyNumberFormat="1" applyFont="1" applyFill="1" applyAlignment="1" applyProtection="1">
      <alignment horizontal="center" vertical="center"/>
      <protection locked="0"/>
    </xf>
    <xf numFmtId="178" fontId="65" fillId="22" borderId="0" xfId="0" applyNumberFormat="1" applyFont="1" applyFill="1" applyAlignment="1" applyProtection="1">
      <alignment horizontal="center" vertical="center"/>
      <protection locked="0"/>
    </xf>
    <xf numFmtId="0" fontId="61" fillId="0" borderId="44" xfId="0" applyFont="1" applyBorder="1" applyAlignment="1" applyProtection="1">
      <alignment horizontal="center" vertical="center"/>
      <protection locked="0"/>
    </xf>
    <xf numFmtId="0" fontId="62" fillId="0" borderId="44" xfId="0" applyFont="1" applyBorder="1" applyAlignment="1" applyProtection="1">
      <alignment horizontal="center" vertical="center"/>
      <protection locked="0"/>
    </xf>
    <xf numFmtId="178" fontId="66" fillId="0" borderId="44" xfId="1" applyNumberFormat="1" applyFont="1" applyBorder="1" applyAlignment="1">
      <alignment horizontal="center" vertical="center" shrinkToFit="1"/>
    </xf>
    <xf numFmtId="188" fontId="65" fillId="0" borderId="44" xfId="0" applyNumberFormat="1" applyFont="1" applyBorder="1" applyAlignment="1">
      <alignment horizontal="center" vertical="center"/>
    </xf>
    <xf numFmtId="0" fontId="66" fillId="31" borderId="0" xfId="0" applyFont="1" applyFill="1" applyAlignment="1">
      <alignment horizontal="center" vertical="center"/>
    </xf>
    <xf numFmtId="188" fontId="66" fillId="0" borderId="0" xfId="0" applyNumberFormat="1" applyFont="1" applyAlignment="1">
      <alignment horizontal="center" vertical="center"/>
    </xf>
    <xf numFmtId="181" fontId="66" fillId="0" borderId="0" xfId="0" applyNumberFormat="1" applyFont="1" applyAlignment="1">
      <alignment vertical="center"/>
    </xf>
    <xf numFmtId="0" fontId="72" fillId="22" borderId="44" xfId="0" applyFont="1" applyFill="1" applyBorder="1" applyAlignment="1" applyProtection="1">
      <alignment horizontal="center" vertical="center"/>
      <protection locked="0"/>
    </xf>
    <xf numFmtId="1" fontId="65" fillId="22" borderId="44" xfId="0" applyNumberFormat="1" applyFont="1" applyFill="1" applyBorder="1" applyAlignment="1" applyProtection="1">
      <alignment horizontal="center" vertical="center"/>
      <protection locked="0"/>
    </xf>
    <xf numFmtId="188" fontId="65" fillId="22" borderId="44" xfId="0" applyNumberFormat="1" applyFont="1" applyFill="1" applyBorder="1" applyAlignment="1" applyProtection="1">
      <alignment horizontal="center" vertical="center"/>
      <protection locked="0"/>
    </xf>
    <xf numFmtId="0" fontId="7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8" fillId="41" borderId="46" xfId="0" applyFont="1" applyFill="1" applyBorder="1" applyAlignment="1">
      <alignment horizontal="center" vertical="center"/>
    </xf>
    <xf numFmtId="0" fontId="68" fillId="41" borderId="48" xfId="0" applyFont="1" applyFill="1" applyBorder="1" applyAlignment="1">
      <alignment horizontal="center" vertical="center"/>
    </xf>
    <xf numFmtId="2" fontId="63" fillId="3" borderId="44" xfId="0" applyNumberFormat="1" applyFont="1" applyFill="1" applyBorder="1" applyAlignment="1" applyProtection="1">
      <alignment horizontal="center" vertical="center"/>
      <protection locked="0"/>
    </xf>
    <xf numFmtId="188" fontId="66" fillId="31" borderId="46" xfId="0" applyNumberFormat="1" applyFont="1" applyFill="1" applyBorder="1"/>
    <xf numFmtId="10" fontId="66" fillId="0" borderId="47" xfId="0" applyNumberFormat="1" applyFont="1" applyBorder="1" applyAlignment="1">
      <alignment horizontal="center"/>
    </xf>
    <xf numFmtId="10" fontId="66" fillId="0" borderId="48" xfId="0" applyNumberFormat="1" applyFont="1" applyBorder="1" applyAlignment="1">
      <alignment horizontal="center"/>
    </xf>
    <xf numFmtId="0" fontId="75" fillId="0" borderId="0" xfId="0" applyFont="1" applyAlignment="1">
      <alignment vertical="center"/>
    </xf>
    <xf numFmtId="0" fontId="72" fillId="22" borderId="50" xfId="0" applyFont="1" applyFill="1" applyBorder="1" applyAlignment="1" applyProtection="1">
      <alignment horizontal="center" vertical="center"/>
      <protection locked="0"/>
    </xf>
    <xf numFmtId="1" fontId="65" fillId="22" borderId="50" xfId="0" applyNumberFormat="1" applyFont="1" applyFill="1" applyBorder="1" applyAlignment="1" applyProtection="1">
      <alignment horizontal="center" vertical="center"/>
      <protection locked="0"/>
    </xf>
    <xf numFmtId="188" fontId="65" fillId="22" borderId="50" xfId="0" applyNumberFormat="1" applyFont="1" applyFill="1" applyBorder="1" applyAlignment="1" applyProtection="1">
      <alignment horizontal="center" vertical="center"/>
      <protection locked="0"/>
    </xf>
    <xf numFmtId="0" fontId="72" fillId="11" borderId="51" xfId="0" applyFont="1" applyFill="1" applyBorder="1" applyAlignment="1" applyProtection="1">
      <alignment horizontal="center" vertical="center"/>
      <protection locked="0"/>
    </xf>
    <xf numFmtId="1" fontId="65" fillId="11" borderId="51" xfId="0" applyNumberFormat="1" applyFont="1" applyFill="1" applyBorder="1" applyAlignment="1" applyProtection="1">
      <alignment horizontal="center" vertical="center"/>
      <protection locked="0"/>
    </xf>
    <xf numFmtId="188" fontId="65" fillId="11" borderId="51" xfId="0" applyNumberFormat="1" applyFont="1" applyFill="1" applyBorder="1" applyAlignment="1" applyProtection="1">
      <alignment horizontal="center" vertical="center"/>
      <protection locked="0"/>
    </xf>
    <xf numFmtId="178" fontId="66" fillId="11" borderId="52" xfId="1" applyNumberFormat="1" applyFont="1" applyFill="1" applyBorder="1" applyAlignment="1">
      <alignment horizontal="center" vertical="center" shrinkToFit="1"/>
    </xf>
    <xf numFmtId="0" fontId="28" fillId="42" borderId="0" xfId="0" applyFont="1" applyFill="1" applyAlignment="1">
      <alignment horizontal="left" vertical="center"/>
    </xf>
    <xf numFmtId="0" fontId="28" fillId="42" borderId="0" xfId="0" applyFont="1" applyFill="1" applyAlignment="1" applyProtection="1">
      <alignment horizontal="center" vertical="center" shrinkToFit="1"/>
      <protection locked="0"/>
    </xf>
    <xf numFmtId="0" fontId="28" fillId="42" borderId="0" xfId="0" applyFont="1" applyFill="1" applyAlignment="1">
      <alignment horizontal="center" vertical="center"/>
    </xf>
    <xf numFmtId="0" fontId="9" fillId="42" borderId="0" xfId="0" applyFont="1" applyFill="1" applyAlignment="1">
      <alignment vertical="center"/>
    </xf>
    <xf numFmtId="178" fontId="66" fillId="11" borderId="53" xfId="1" applyNumberFormat="1" applyFont="1" applyFill="1" applyBorder="1" applyAlignment="1">
      <alignment horizontal="center" vertical="center" shrinkToFit="1"/>
    </xf>
    <xf numFmtId="0" fontId="76" fillId="11" borderId="0" xfId="0" applyFont="1" applyFill="1" applyAlignment="1">
      <alignment horizontal="center" vertical="center"/>
    </xf>
    <xf numFmtId="178" fontId="31" fillId="11" borderId="0" xfId="0" applyNumberFormat="1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178" fontId="27" fillId="43" borderId="0" xfId="0" applyNumberFormat="1" applyFont="1" applyFill="1" applyAlignment="1">
      <alignment vertical="center"/>
    </xf>
    <xf numFmtId="0" fontId="9" fillId="11" borderId="0" xfId="0" applyFont="1" applyFill="1" applyAlignment="1">
      <alignment vertical="center"/>
    </xf>
    <xf numFmtId="178" fontId="59" fillId="44" borderId="0" xfId="0" applyNumberFormat="1" applyFont="1" applyFill="1" applyAlignment="1">
      <alignment vertical="center"/>
    </xf>
    <xf numFmtId="0" fontId="76" fillId="11" borderId="0" xfId="0" applyFont="1" applyFill="1" applyAlignment="1">
      <alignment horizontal="center" vertical="center" shrinkToFit="1"/>
    </xf>
    <xf numFmtId="0" fontId="29" fillId="0" borderId="0" xfId="0" applyFont="1" applyAlignment="1">
      <alignment horizontal="left" vertical="center"/>
    </xf>
    <xf numFmtId="0" fontId="29" fillId="0" borderId="0" xfId="0" applyFont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78" fontId="31" fillId="0" borderId="0" xfId="0" applyNumberFormat="1" applyFont="1" applyAlignment="1">
      <alignment horizontal="center" vertical="center"/>
    </xf>
    <xf numFmtId="0" fontId="76" fillId="0" borderId="0" xfId="0" applyFont="1" applyAlignment="1">
      <alignment horizontal="center" vertical="center" shrinkToFit="1"/>
    </xf>
    <xf numFmtId="0" fontId="9" fillId="3" borderId="0" xfId="0" applyFont="1" applyFill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 applyProtection="1">
      <alignment horizontal="center" vertical="center" shrinkToFit="1"/>
      <protection locked="0"/>
    </xf>
    <xf numFmtId="0" fontId="22" fillId="23" borderId="0" xfId="0" applyFont="1" applyFill="1" applyAlignment="1">
      <alignment horizontal="center" vertical="center"/>
    </xf>
    <xf numFmtId="187" fontId="81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5" fillId="45" borderId="0" xfId="0" applyFont="1" applyFill="1" applyAlignment="1">
      <alignment horizontal="center" vertical="center"/>
    </xf>
    <xf numFmtId="0" fontId="85" fillId="45" borderId="0" xfId="0" applyFont="1" applyFill="1" applyAlignment="1">
      <alignment horizontal="center" vertical="center" wrapText="1"/>
    </xf>
    <xf numFmtId="0" fontId="86" fillId="45" borderId="0" xfId="0" applyFont="1" applyFill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8" fillId="15" borderId="0" xfId="3" applyFont="1" applyFill="1"/>
    <xf numFmtId="0" fontId="9" fillId="0" borderId="0" xfId="3" applyFont="1" applyAlignment="1">
      <alignment horizontal="center"/>
    </xf>
    <xf numFmtId="0" fontId="76" fillId="23" borderId="0" xfId="3" applyFont="1" applyFill="1" applyAlignment="1">
      <alignment horizontal="center" vertical="center"/>
    </xf>
    <xf numFmtId="187" fontId="31" fillId="23" borderId="0" xfId="3" applyNumberFormat="1" applyFont="1" applyFill="1" applyAlignment="1">
      <alignment horizontal="center" vertical="center"/>
    </xf>
    <xf numFmtId="0" fontId="33" fillId="40" borderId="0" xfId="3" applyFont="1" applyFill="1" applyAlignment="1">
      <alignment horizontal="center" vertical="center"/>
    </xf>
    <xf numFmtId="179" fontId="32" fillId="40" borderId="0" xfId="3" applyNumberFormat="1" applyFont="1" applyFill="1" applyAlignment="1">
      <alignment horizontal="center" vertical="center"/>
    </xf>
    <xf numFmtId="0" fontId="59" fillId="48" borderId="57" xfId="3" applyFont="1" applyFill="1" applyBorder="1" applyAlignment="1">
      <alignment vertical="center"/>
    </xf>
    <xf numFmtId="0" fontId="22" fillId="11" borderId="0" xfId="3" applyFont="1" applyFill="1" applyAlignment="1">
      <alignment horizontal="center" vertical="center"/>
    </xf>
    <xf numFmtId="0" fontId="80" fillId="49" borderId="58" xfId="3" applyFont="1" applyFill="1" applyBorder="1" applyAlignment="1">
      <alignment horizontal="center" vertical="center"/>
    </xf>
    <xf numFmtId="0" fontId="80" fillId="49" borderId="59" xfId="3" applyFont="1" applyFill="1" applyBorder="1" applyAlignment="1">
      <alignment horizontal="center" vertical="center"/>
    </xf>
    <xf numFmtId="0" fontId="80" fillId="49" borderId="60" xfId="3" applyFont="1" applyFill="1" applyBorder="1" applyAlignment="1">
      <alignment horizontal="center" vertical="center" wrapText="1"/>
    </xf>
    <xf numFmtId="0" fontId="18" fillId="49" borderId="61" xfId="3" applyFont="1" applyFill="1" applyBorder="1" applyAlignment="1">
      <alignment horizontal="center" vertical="center" wrapText="1"/>
    </xf>
    <xf numFmtId="0" fontId="9" fillId="0" borderId="60" xfId="3" applyFont="1" applyBorder="1" applyAlignment="1">
      <alignment horizontal="center" vertical="center" wrapText="1"/>
    </xf>
    <xf numFmtId="0" fontId="9" fillId="0" borderId="59" xfId="3" applyFont="1" applyBorder="1" applyAlignment="1">
      <alignment horizontal="center" vertical="center" wrapText="1"/>
    </xf>
    <xf numFmtId="0" fontId="8" fillId="0" borderId="59" xfId="3" applyFont="1" applyBorder="1" applyAlignment="1">
      <alignment horizontal="left" vertical="center" wrapText="1"/>
    </xf>
    <xf numFmtId="0" fontId="102" fillId="38" borderId="61" xfId="3" applyFont="1" applyFill="1" applyBorder="1" applyAlignment="1">
      <alignment horizontal="center" vertical="center" wrapText="1"/>
    </xf>
    <xf numFmtId="0" fontId="9" fillId="0" borderId="59" xfId="3" applyFont="1" applyBorder="1" applyAlignment="1">
      <alignment horizontal="left" vertical="center" wrapText="1"/>
    </xf>
    <xf numFmtId="0" fontId="8" fillId="16" borderId="59" xfId="3" applyFont="1" applyFill="1" applyBorder="1" applyAlignment="1">
      <alignment horizontal="left" vertical="center" wrapText="1"/>
    </xf>
    <xf numFmtId="0" fontId="22" fillId="38" borderId="62" xfId="3" applyFont="1" applyFill="1" applyBorder="1" applyAlignment="1">
      <alignment horizontal="center" vertical="center" wrapText="1"/>
    </xf>
    <xf numFmtId="0" fontId="57" fillId="14" borderId="0" xfId="3" applyFont="1" applyFill="1" applyAlignment="1">
      <alignment horizontal="center" vertical="center"/>
    </xf>
    <xf numFmtId="0" fontId="8" fillId="31" borderId="63" xfId="3" applyFont="1" applyFill="1" applyBorder="1"/>
    <xf numFmtId="0" fontId="8" fillId="31" borderId="0" xfId="3" applyFont="1" applyFill="1"/>
    <xf numFmtId="189" fontId="103" fillId="15" borderId="64" xfId="3" applyNumberFormat="1" applyFont="1" applyFill="1" applyBorder="1" applyAlignment="1">
      <alignment horizontal="center" vertical="center"/>
    </xf>
    <xf numFmtId="178" fontId="103" fillId="29" borderId="65" xfId="3" applyNumberFormat="1" applyFont="1" applyFill="1" applyBorder="1" applyAlignment="1">
      <alignment horizontal="center" vertical="center"/>
    </xf>
    <xf numFmtId="0" fontId="9" fillId="0" borderId="64" xfId="3" applyFont="1" applyBorder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9" fontId="9" fillId="0" borderId="0" xfId="1" applyFont="1" applyAlignment="1">
      <alignment horizontal="center" vertical="center"/>
    </xf>
    <xf numFmtId="190" fontId="20" fillId="38" borderId="65" xfId="3" applyNumberFormat="1" applyFont="1" applyFill="1" applyBorder="1" applyAlignment="1">
      <alignment horizontal="center" vertical="center"/>
    </xf>
    <xf numFmtId="1" fontId="9" fillId="0" borderId="64" xfId="3" applyNumberFormat="1" applyFont="1" applyBorder="1" applyAlignment="1">
      <alignment horizontal="center" vertical="center"/>
    </xf>
    <xf numFmtId="1" fontId="9" fillId="0" borderId="0" xfId="3" applyNumberFormat="1" applyFont="1" applyAlignment="1">
      <alignment horizontal="center" vertical="center"/>
    </xf>
    <xf numFmtId="1" fontId="20" fillId="38" borderId="65" xfId="3" applyNumberFormat="1" applyFont="1" applyFill="1" applyBorder="1" applyAlignment="1">
      <alignment horizontal="center" vertical="center"/>
    </xf>
    <xf numFmtId="2" fontId="104" fillId="16" borderId="0" xfId="0" applyNumberFormat="1" applyFont="1" applyFill="1" applyAlignment="1">
      <alignment horizontal="center" vertical="center"/>
    </xf>
    <xf numFmtId="2" fontId="105" fillId="38" borderId="66" xfId="0" applyNumberFormat="1" applyFont="1" applyFill="1" applyBorder="1" applyAlignment="1">
      <alignment horizontal="center" vertical="center"/>
    </xf>
    <xf numFmtId="0" fontId="106" fillId="18" borderId="0" xfId="3" applyFont="1" applyFill="1" applyAlignment="1">
      <alignment horizontal="center" vertical="center"/>
    </xf>
    <xf numFmtId="0" fontId="80" fillId="18" borderId="0" xfId="3" applyFont="1" applyFill="1" applyAlignment="1">
      <alignment horizontal="center" vertical="center"/>
    </xf>
    <xf numFmtId="0" fontId="107" fillId="28" borderId="0" xfId="3" applyFont="1" applyFill="1" applyAlignment="1">
      <alignment horizontal="center" vertical="center"/>
    </xf>
    <xf numFmtId="0" fontId="22" fillId="28" borderId="0" xfId="3" applyFont="1" applyFill="1" applyAlignment="1">
      <alignment horizontal="center" vertical="center"/>
    </xf>
    <xf numFmtId="0" fontId="107" fillId="37" borderId="0" xfId="3" applyFont="1" applyFill="1" applyAlignment="1">
      <alignment horizontal="center" vertical="center"/>
    </xf>
    <xf numFmtId="0" fontId="22" fillId="37" borderId="0" xfId="3" applyFont="1" applyFill="1" applyAlignment="1">
      <alignment horizontal="center" vertical="center"/>
    </xf>
    <xf numFmtId="0" fontId="108" fillId="0" borderId="0" xfId="0" applyFont="1"/>
    <xf numFmtId="0" fontId="104" fillId="0" borderId="0" xfId="0" applyFont="1"/>
    <xf numFmtId="0" fontId="105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28" fillId="20" borderId="0" xfId="0" applyFont="1" applyFill="1" applyAlignment="1">
      <alignment horizontal="right" vertical="center"/>
    </xf>
    <xf numFmtId="0" fontId="80" fillId="20" borderId="0" xfId="0" applyFont="1" applyFill="1" applyAlignment="1">
      <alignment horizontal="center" vertical="center" wrapText="1"/>
    </xf>
    <xf numFmtId="0" fontId="22" fillId="37" borderId="0" xfId="0" applyFont="1" applyFill="1" applyAlignment="1">
      <alignment horizontal="center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0" xfId="0" applyFont="1" applyFill="1" applyAlignment="1">
      <alignment horizontal="center" vertical="center" wrapText="1"/>
    </xf>
    <xf numFmtId="0" fontId="8" fillId="0" borderId="0" xfId="0" applyFont="1"/>
    <xf numFmtId="0" fontId="115" fillId="0" borderId="0" xfId="0" applyFont="1"/>
    <xf numFmtId="0" fontId="42" fillId="0" borderId="0" xfId="0" applyFont="1"/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37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3" fillId="38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03" fillId="22" borderId="0" xfId="0" applyFont="1" applyFill="1"/>
    <xf numFmtId="0" fontId="118" fillId="24" borderId="0" xfId="0" applyFont="1" applyFill="1" applyAlignment="1">
      <alignment horizontal="center" vertical="center" wrapText="1"/>
    </xf>
    <xf numFmtId="0" fontId="31" fillId="0" borderId="0" xfId="3" applyFont="1" applyAlignment="1">
      <alignment horizontal="center"/>
    </xf>
    <xf numFmtId="0" fontId="31" fillId="0" borderId="0" xfId="0" applyFont="1" applyAlignment="1">
      <alignment horizontal="center" shrinkToFit="1"/>
    </xf>
    <xf numFmtId="0" fontId="31" fillId="0" borderId="0" xfId="0" applyFont="1" applyAlignment="1">
      <alignment horizontal="center"/>
    </xf>
    <xf numFmtId="0" fontId="31" fillId="0" borderId="0" xfId="3" applyFont="1"/>
    <xf numFmtId="0" fontId="121" fillId="0" borderId="0" xfId="0" applyFont="1"/>
    <xf numFmtId="0" fontId="122" fillId="0" borderId="68" xfId="0" applyFont="1" applyBorder="1" applyAlignment="1">
      <alignment horizontal="center" vertical="center"/>
    </xf>
    <xf numFmtId="0" fontId="85" fillId="55" borderId="68" xfId="3" applyFont="1" applyFill="1" applyBorder="1" applyAlignment="1">
      <alignment horizontal="center" vertical="center"/>
    </xf>
    <xf numFmtId="0" fontId="113" fillId="55" borderId="68" xfId="3" applyFont="1" applyFill="1" applyBorder="1" applyAlignment="1">
      <alignment horizontal="center" vertical="center"/>
    </xf>
    <xf numFmtId="0" fontId="48" fillId="0" borderId="68" xfId="0" applyFont="1" applyBorder="1" applyAlignment="1">
      <alignment horizontal="center" vertical="center"/>
    </xf>
    <xf numFmtId="0" fontId="123" fillId="56" borderId="68" xfId="3" applyFont="1" applyFill="1" applyBorder="1" applyAlignment="1">
      <alignment horizontal="center" vertical="center"/>
    </xf>
    <xf numFmtId="0" fontId="122" fillId="56" borderId="68" xfId="3" applyFont="1" applyFill="1" applyBorder="1" applyAlignment="1">
      <alignment horizontal="center" vertical="center"/>
    </xf>
    <xf numFmtId="0" fontId="125" fillId="0" borderId="0" xfId="0" applyFont="1"/>
    <xf numFmtId="0" fontId="76" fillId="27" borderId="0" xfId="3" applyFont="1" applyFill="1" applyAlignment="1">
      <alignment horizontal="center" shrinkToFit="1"/>
    </xf>
    <xf numFmtId="0" fontId="125" fillId="0" borderId="0" xfId="3" applyFont="1" applyAlignment="1">
      <alignment horizontal="center" shrinkToFit="1"/>
    </xf>
    <xf numFmtId="0" fontId="43" fillId="0" borderId="0" xfId="3" applyFont="1"/>
    <xf numFmtId="0" fontId="43" fillId="0" borderId="0" xfId="0" applyFont="1"/>
    <xf numFmtId="0" fontId="0" fillId="0" borderId="69" xfId="0" applyBorder="1"/>
    <xf numFmtId="0" fontId="47" fillId="57" borderId="68" xfId="3" applyFont="1" applyFill="1" applyBorder="1" applyAlignment="1">
      <alignment horizontal="center" vertical="center" wrapText="1"/>
    </xf>
    <xf numFmtId="0" fontId="48" fillId="57" borderId="68" xfId="3" applyFont="1" applyFill="1" applyBorder="1" applyAlignment="1">
      <alignment horizontal="center" vertical="center" wrapText="1"/>
    </xf>
    <xf numFmtId="0" fontId="48" fillId="57" borderId="68" xfId="0" applyFont="1" applyFill="1" applyBorder="1" applyAlignment="1">
      <alignment horizontal="center" vertical="center" wrapText="1"/>
    </xf>
    <xf numFmtId="0" fontId="47" fillId="57" borderId="68" xfId="0" applyFont="1" applyFill="1" applyBorder="1" applyAlignment="1">
      <alignment horizontal="center" vertical="center" wrapText="1"/>
    </xf>
    <xf numFmtId="0" fontId="127" fillId="32" borderId="68" xfId="3" applyFont="1" applyFill="1" applyBorder="1" applyAlignment="1">
      <alignment horizontal="center" vertical="center"/>
    </xf>
    <xf numFmtId="191" fontId="122" fillId="32" borderId="68" xfId="3" applyNumberFormat="1" applyFont="1" applyFill="1" applyBorder="1" applyAlignment="1">
      <alignment horizontal="center" vertical="center"/>
    </xf>
    <xf numFmtId="3" fontId="122" fillId="32" borderId="68" xfId="3" applyNumberFormat="1" applyFont="1" applyFill="1" applyBorder="1" applyAlignment="1">
      <alignment horizontal="center" vertical="center"/>
    </xf>
    <xf numFmtId="3" fontId="122" fillId="32" borderId="68" xfId="0" applyNumberFormat="1" applyFont="1" applyFill="1" applyBorder="1" applyAlignment="1">
      <alignment horizontal="center" vertical="center"/>
    </xf>
    <xf numFmtId="3" fontId="128" fillId="32" borderId="68" xfId="0" applyNumberFormat="1" applyFont="1" applyFill="1" applyBorder="1" applyAlignment="1">
      <alignment horizontal="center" vertical="center"/>
    </xf>
    <xf numFmtId="3" fontId="129" fillId="58" borderId="70" xfId="0" applyNumberFormat="1" applyFont="1" applyFill="1" applyBorder="1" applyAlignment="1">
      <alignment horizontal="center" vertical="center"/>
    </xf>
    <xf numFmtId="0" fontId="130" fillId="58" borderId="70" xfId="0" applyFont="1" applyFill="1" applyBorder="1" applyAlignment="1">
      <alignment horizontal="center" vertical="center"/>
    </xf>
    <xf numFmtId="0" fontId="129" fillId="58" borderId="70" xfId="3" applyFont="1" applyFill="1" applyBorder="1" applyAlignment="1">
      <alignment horizontal="center" vertical="center"/>
    </xf>
    <xf numFmtId="3" fontId="129" fillId="58" borderId="70" xfId="3" applyNumberFormat="1" applyFont="1" applyFill="1" applyBorder="1" applyAlignment="1">
      <alignment horizontal="center" vertical="center"/>
    </xf>
    <xf numFmtId="0" fontId="47" fillId="59" borderId="68" xfId="0" applyFont="1" applyFill="1" applyBorder="1" applyAlignment="1">
      <alignment horizontal="center" vertical="center" wrapText="1"/>
    </xf>
    <xf numFmtId="0" fontId="48" fillId="59" borderId="68" xfId="0" applyFont="1" applyFill="1" applyBorder="1" applyAlignment="1">
      <alignment horizontal="center" vertical="center" wrapText="1"/>
    </xf>
    <xf numFmtId="0" fontId="127" fillId="60" borderId="68" xfId="0" applyFont="1" applyFill="1" applyBorder="1" applyAlignment="1">
      <alignment horizontal="center" vertical="center"/>
    </xf>
    <xf numFmtId="191" fontId="122" fillId="60" borderId="68" xfId="0" applyNumberFormat="1" applyFont="1" applyFill="1" applyBorder="1" applyAlignment="1">
      <alignment horizontal="center" vertical="center"/>
    </xf>
    <xf numFmtId="3" fontId="122" fillId="60" borderId="68" xfId="0" applyNumberFormat="1" applyFont="1" applyFill="1" applyBorder="1" applyAlignment="1">
      <alignment horizontal="center" vertical="center"/>
    </xf>
    <xf numFmtId="3" fontId="128" fillId="60" borderId="68" xfId="0" applyNumberFormat="1" applyFont="1" applyFill="1" applyBorder="1" applyAlignment="1">
      <alignment horizontal="center" vertical="center"/>
    </xf>
    <xf numFmtId="0" fontId="130" fillId="61" borderId="70" xfId="0" applyFont="1" applyFill="1" applyBorder="1" applyAlignment="1">
      <alignment horizontal="center" vertical="center"/>
    </xf>
    <xf numFmtId="3" fontId="129" fillId="61" borderId="70" xfId="0" applyNumberFormat="1" applyFont="1" applyFill="1" applyBorder="1" applyAlignment="1">
      <alignment horizontal="center" vertical="center"/>
    </xf>
    <xf numFmtId="0" fontId="48" fillId="0" borderId="68" xfId="0" applyFont="1" applyBorder="1" applyAlignment="1">
      <alignment horizontal="center" vertical="center" wrapText="1"/>
    </xf>
    <xf numFmtId="0" fontId="47" fillId="62" borderId="68" xfId="0" applyFont="1" applyFill="1" applyBorder="1" applyAlignment="1">
      <alignment horizontal="center" vertical="center" wrapText="1"/>
    </xf>
    <xf numFmtId="0" fontId="48" fillId="62" borderId="68" xfId="0" applyFont="1" applyFill="1" applyBorder="1" applyAlignment="1">
      <alignment horizontal="center" vertical="center" wrapText="1"/>
    </xf>
    <xf numFmtId="0" fontId="127" fillId="63" borderId="68" xfId="0" applyFont="1" applyFill="1" applyBorder="1" applyAlignment="1">
      <alignment horizontal="center" vertical="center"/>
    </xf>
    <xf numFmtId="3" fontId="122" fillId="63" borderId="68" xfId="0" applyNumberFormat="1" applyFont="1" applyFill="1" applyBorder="1" applyAlignment="1">
      <alignment horizontal="center" vertical="center"/>
    </xf>
    <xf numFmtId="3" fontId="131" fillId="63" borderId="68" xfId="0" applyNumberFormat="1" applyFont="1" applyFill="1" applyBorder="1" applyAlignment="1">
      <alignment horizontal="center" vertical="center"/>
    </xf>
    <xf numFmtId="3" fontId="43" fillId="0" borderId="0" xfId="0" applyNumberFormat="1" applyFont="1"/>
    <xf numFmtId="3" fontId="129" fillId="0" borderId="0" xfId="0" applyNumberFormat="1" applyFont="1" applyAlignment="1">
      <alignment horizontal="center" vertical="center"/>
    </xf>
    <xf numFmtId="0" fontId="130" fillId="64" borderId="70" xfId="0" applyFont="1" applyFill="1" applyBorder="1" applyAlignment="1">
      <alignment horizontal="center" vertical="center"/>
    </xf>
    <xf numFmtId="3" fontId="129" fillId="64" borderId="70" xfId="0" applyNumberFormat="1" applyFont="1" applyFill="1" applyBorder="1" applyAlignment="1">
      <alignment horizontal="center" vertical="center"/>
    </xf>
    <xf numFmtId="190" fontId="80" fillId="49" borderId="43" xfId="0" applyNumberFormat="1" applyFont="1" applyFill="1" applyBorder="1" applyAlignment="1" applyProtection="1">
      <alignment horizontal="center" vertical="center" wrapText="1" shrinkToFit="1"/>
      <protection locked="0"/>
    </xf>
    <xf numFmtId="0" fontId="22" fillId="37" borderId="43" xfId="0" applyFont="1" applyFill="1" applyBorder="1" applyAlignment="1" applyProtection="1">
      <alignment horizontal="center" vertical="center" wrapText="1"/>
      <protection locked="0"/>
    </xf>
    <xf numFmtId="190" fontId="16" fillId="27" borderId="43" xfId="0" applyNumberFormat="1" applyFont="1" applyFill="1" applyBorder="1" applyAlignment="1" applyProtection="1">
      <alignment horizontal="center" vertical="center" wrapText="1" shrinkToFit="1"/>
      <protection locked="0"/>
    </xf>
    <xf numFmtId="0" fontId="132" fillId="27" borderId="43" xfId="0" applyFont="1" applyFill="1" applyBorder="1" applyAlignment="1" applyProtection="1">
      <alignment horizontal="center" vertical="center" shrinkToFit="1"/>
      <protection locked="0"/>
    </xf>
    <xf numFmtId="0" fontId="115" fillId="31" borderId="72" xfId="0" applyFont="1" applyFill="1" applyBorder="1" applyAlignment="1" applyProtection="1">
      <alignment horizontal="center" vertical="center" shrinkToFit="1"/>
      <protection locked="0"/>
    </xf>
    <xf numFmtId="49" fontId="115" fillId="31" borderId="72" xfId="0" applyNumberFormat="1" applyFont="1" applyFill="1" applyBorder="1" applyAlignment="1" applyProtection="1">
      <alignment horizontal="center" vertical="center"/>
      <protection locked="0"/>
    </xf>
    <xf numFmtId="0" fontId="115" fillId="31" borderId="72" xfId="0" applyFont="1" applyFill="1" applyBorder="1" applyAlignment="1" applyProtection="1">
      <alignment horizontal="center" vertical="center"/>
      <protection locked="0"/>
    </xf>
    <xf numFmtId="177" fontId="43" fillId="0" borderId="72" xfId="0" applyNumberFormat="1" applyFont="1" applyBorder="1" applyAlignment="1" applyProtection="1">
      <alignment horizontal="center" vertical="center" shrinkToFit="1"/>
      <protection locked="0"/>
    </xf>
    <xf numFmtId="192" fontId="43" fillId="0" borderId="72" xfId="0" applyNumberFormat="1" applyFont="1" applyBorder="1" applyAlignment="1" applyProtection="1">
      <alignment horizontal="center" vertical="center" shrinkToFit="1"/>
      <protection locked="0"/>
    </xf>
    <xf numFmtId="192" fontId="43" fillId="37" borderId="72" xfId="0" applyNumberFormat="1" applyFont="1" applyFill="1" applyBorder="1" applyAlignment="1" applyProtection="1">
      <alignment horizontal="center" vertical="center" shrinkToFit="1"/>
      <protection locked="0"/>
    </xf>
    <xf numFmtId="193" fontId="43" fillId="0" borderId="72" xfId="0" applyNumberFormat="1" applyFont="1" applyBorder="1" applyAlignment="1" applyProtection="1">
      <alignment horizontal="center" vertical="center" shrinkToFit="1"/>
      <protection locked="0"/>
    </xf>
    <xf numFmtId="9" fontId="43" fillId="0" borderId="72" xfId="0" applyNumberFormat="1" applyFont="1" applyBorder="1" applyAlignment="1" applyProtection="1">
      <alignment horizontal="center" vertical="center" shrinkToFit="1"/>
      <protection locked="0"/>
    </xf>
    <xf numFmtId="194" fontId="43" fillId="37" borderId="72" xfId="0" applyNumberFormat="1" applyFont="1" applyFill="1" applyBorder="1" applyAlignment="1" applyProtection="1">
      <alignment horizontal="center" vertical="center" shrinkToFit="1"/>
      <protection locked="0"/>
    </xf>
    <xf numFmtId="178" fontId="43" fillId="0" borderId="72" xfId="0" applyNumberFormat="1" applyFont="1" applyBorder="1" applyAlignment="1" applyProtection="1">
      <alignment horizontal="center" vertical="center" shrinkToFit="1"/>
      <protection locked="0"/>
    </xf>
    <xf numFmtId="188" fontId="43" fillId="0" borderId="72" xfId="0" applyNumberFormat="1" applyFont="1" applyBorder="1" applyAlignment="1" applyProtection="1">
      <alignment horizontal="center" vertical="center" shrinkToFit="1"/>
      <protection locked="0"/>
    </xf>
    <xf numFmtId="0" fontId="115" fillId="31" borderId="43" xfId="0" applyFont="1" applyFill="1" applyBorder="1" applyAlignment="1" applyProtection="1">
      <alignment horizontal="center" vertical="center" shrinkToFit="1"/>
      <protection locked="0"/>
    </xf>
    <xf numFmtId="49" fontId="115" fillId="31" borderId="43" xfId="0" applyNumberFormat="1" applyFont="1" applyFill="1" applyBorder="1" applyAlignment="1" applyProtection="1">
      <alignment horizontal="center" vertical="center"/>
      <protection locked="0"/>
    </xf>
    <xf numFmtId="0" fontId="115" fillId="31" borderId="43" xfId="0" applyFont="1" applyFill="1" applyBorder="1" applyAlignment="1" applyProtection="1">
      <alignment horizontal="center" vertical="center"/>
      <protection locked="0"/>
    </xf>
    <xf numFmtId="192" fontId="43" fillId="0" borderId="43" xfId="0" applyNumberFormat="1" applyFont="1" applyBorder="1" applyAlignment="1" applyProtection="1">
      <alignment horizontal="center" vertical="center" shrinkToFit="1"/>
      <protection locked="0"/>
    </xf>
    <xf numFmtId="188" fontId="43" fillId="0" borderId="43" xfId="0" applyNumberFormat="1" applyFont="1" applyBorder="1" applyAlignment="1" applyProtection="1">
      <alignment horizontal="center" vertical="center" shrinkToFit="1"/>
      <protection locked="0"/>
    </xf>
    <xf numFmtId="0" fontId="43" fillId="0" borderId="72" xfId="0" applyFont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/>
    </xf>
    <xf numFmtId="190" fontId="6" fillId="49" borderId="43" xfId="0" applyNumberFormat="1" applyFont="1" applyFill="1" applyBorder="1" applyAlignment="1" applyProtection="1">
      <alignment horizontal="center" vertical="center" wrapText="1" shrinkToFit="1"/>
      <protection locked="0"/>
    </xf>
    <xf numFmtId="190" fontId="133" fillId="49" borderId="43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27" borderId="43" xfId="0" applyFont="1" applyFill="1" applyBorder="1" applyAlignment="1" applyProtection="1">
      <alignment horizontal="center" vertical="center" shrinkToFit="1"/>
      <protection locked="0"/>
    </xf>
    <xf numFmtId="190" fontId="16" fillId="22" borderId="43" xfId="0" applyNumberFormat="1" applyFont="1" applyFill="1" applyBorder="1" applyAlignment="1" applyProtection="1">
      <alignment horizontal="center" vertical="center" wrapText="1" shrinkToFit="1"/>
      <protection locked="0"/>
    </xf>
    <xf numFmtId="0" fontId="132" fillId="22" borderId="43" xfId="0" applyFont="1" applyFill="1" applyBorder="1" applyAlignment="1" applyProtection="1">
      <alignment horizontal="center" vertical="center" shrinkToFit="1"/>
      <protection locked="0"/>
    </xf>
    <xf numFmtId="178" fontId="43" fillId="33" borderId="72" xfId="0" applyNumberFormat="1" applyFont="1" applyFill="1" applyBorder="1" applyAlignment="1" applyProtection="1">
      <alignment horizontal="center" vertical="center" shrinkToFit="1"/>
      <protection locked="0"/>
    </xf>
    <xf numFmtId="194" fontId="43" fillId="15" borderId="72" xfId="0" applyNumberFormat="1" applyFont="1" applyFill="1" applyBorder="1" applyAlignment="1" applyProtection="1">
      <alignment horizontal="center" vertical="center" shrinkToFit="1"/>
      <protection locked="0"/>
    </xf>
    <xf numFmtId="9" fontId="43" fillId="51" borderId="72" xfId="0" applyNumberFormat="1" applyFont="1" applyFill="1" applyBorder="1" applyAlignment="1" applyProtection="1">
      <alignment horizontal="center" vertical="center" shrinkToFit="1"/>
      <protection locked="0"/>
    </xf>
    <xf numFmtId="181" fontId="43" fillId="0" borderId="72" xfId="0" applyNumberFormat="1" applyFont="1" applyBorder="1" applyAlignment="1" applyProtection="1">
      <alignment horizontal="center" vertical="center" shrinkToFit="1"/>
      <protection locked="0"/>
    </xf>
    <xf numFmtId="192" fontId="43" fillId="15" borderId="72" xfId="0" applyNumberFormat="1" applyFont="1" applyFill="1" applyBorder="1" applyAlignment="1" applyProtection="1">
      <alignment horizontal="center" vertical="center" shrinkToFit="1"/>
      <protection locked="0"/>
    </xf>
    <xf numFmtId="193" fontId="43" fillId="0" borderId="43" xfId="0" applyNumberFormat="1" applyFont="1" applyBorder="1" applyAlignment="1" applyProtection="1">
      <alignment horizontal="center" vertical="center" shrinkToFit="1"/>
      <protection locked="0"/>
    </xf>
    <xf numFmtId="9" fontId="43" fillId="51" borderId="43" xfId="0" applyNumberFormat="1" applyFont="1" applyFill="1" applyBorder="1" applyAlignment="1" applyProtection="1">
      <alignment horizontal="center" vertical="center" shrinkToFit="1"/>
      <protection locked="0"/>
    </xf>
    <xf numFmtId="9" fontId="43" fillId="28" borderId="43" xfId="0" applyNumberFormat="1" applyFont="1" applyFill="1" applyBorder="1" applyAlignment="1" applyProtection="1">
      <alignment horizontal="center" vertical="center" shrinkToFit="1"/>
      <protection locked="0"/>
    </xf>
    <xf numFmtId="9" fontId="43" fillId="6" borderId="43" xfId="0" applyNumberFormat="1" applyFont="1" applyFill="1" applyBorder="1" applyAlignment="1" applyProtection="1">
      <alignment horizontal="center" vertical="center" shrinkToFit="1"/>
      <protection locked="0"/>
    </xf>
    <xf numFmtId="178" fontId="43" fillId="0" borderId="43" xfId="0" applyNumberFormat="1" applyFont="1" applyBorder="1" applyAlignment="1" applyProtection="1">
      <alignment horizontal="center" vertical="center" shrinkToFit="1"/>
      <protection locked="0"/>
    </xf>
    <xf numFmtId="0" fontId="12" fillId="25" borderId="0" xfId="0" applyFont="1" applyFill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139" fillId="0" borderId="0" xfId="0" applyFont="1"/>
    <xf numFmtId="0" fontId="140" fillId="0" borderId="0" xfId="0" applyFont="1" applyAlignment="1">
      <alignment horizontal="center" vertical="center"/>
    </xf>
    <xf numFmtId="0" fontId="8" fillId="15" borderId="0" xfId="0" applyFont="1" applyFill="1"/>
    <xf numFmtId="187" fontId="0" fillId="15" borderId="0" xfId="0" applyNumberFormat="1" applyFill="1"/>
    <xf numFmtId="0" fontId="47" fillId="17" borderId="0" xfId="0" applyFont="1" applyFill="1" applyAlignment="1">
      <alignment horizontal="center" vertical="center" wrapText="1"/>
    </xf>
    <xf numFmtId="0" fontId="141" fillId="25" borderId="0" xfId="0" applyFont="1" applyFill="1" applyAlignment="1">
      <alignment horizontal="center" vertical="center" wrapText="1"/>
    </xf>
    <xf numFmtId="0" fontId="143" fillId="25" borderId="0" xfId="0" applyFont="1" applyFill="1" applyAlignment="1">
      <alignment horizontal="center" vertical="center" wrapText="1"/>
    </xf>
    <xf numFmtId="0" fontId="144" fillId="30" borderId="0" xfId="0" applyFont="1" applyFill="1" applyAlignment="1">
      <alignment horizontal="center" vertical="center" wrapText="1"/>
    </xf>
    <xf numFmtId="0" fontId="40" fillId="30" borderId="0" xfId="0" applyFont="1" applyFill="1" applyAlignment="1">
      <alignment horizontal="center" vertical="center" wrapText="1"/>
    </xf>
    <xf numFmtId="0" fontId="141" fillId="19" borderId="0" xfId="0" applyFont="1" applyFill="1" applyAlignment="1">
      <alignment horizontal="center" vertical="center" wrapText="1"/>
    </xf>
    <xf numFmtId="0" fontId="143" fillId="19" borderId="0" xfId="0" applyFont="1" applyFill="1" applyAlignment="1">
      <alignment horizontal="center" vertical="center" wrapText="1"/>
    </xf>
    <xf numFmtId="0" fontId="143" fillId="10" borderId="0" xfId="0" applyFont="1" applyFill="1" applyAlignment="1">
      <alignment horizontal="center" vertical="center" wrapText="1"/>
    </xf>
    <xf numFmtId="0" fontId="47" fillId="25" borderId="0" xfId="0" applyFont="1" applyFill="1" applyAlignment="1">
      <alignment horizontal="center" vertical="center" wrapText="1"/>
    </xf>
    <xf numFmtId="0" fontId="145" fillId="0" borderId="0" xfId="0" applyFont="1"/>
    <xf numFmtId="0" fontId="8" fillId="37" borderId="43" xfId="0" applyFont="1" applyFill="1" applyBorder="1" applyAlignment="1">
      <alignment horizontal="center" vertical="center"/>
    </xf>
    <xf numFmtId="0" fontId="0" fillId="28" borderId="43" xfId="0" applyFill="1" applyBorder="1" applyAlignment="1">
      <alignment horizontal="center" vertical="center"/>
    </xf>
    <xf numFmtId="0" fontId="0" fillId="66" borderId="43" xfId="0" applyFill="1" applyBorder="1" applyAlignment="1">
      <alignment horizontal="center" vertical="center"/>
    </xf>
    <xf numFmtId="9" fontId="2" fillId="15" borderId="43" xfId="1" applyFill="1" applyBorder="1" applyAlignment="1">
      <alignment horizontal="center" vertical="center"/>
    </xf>
    <xf numFmtId="2" fontId="0" fillId="50" borderId="43" xfId="0" applyNumberFormat="1" applyFill="1" applyBorder="1" applyAlignment="1">
      <alignment horizontal="center" vertical="center"/>
    </xf>
    <xf numFmtId="1" fontId="0" fillId="28" borderId="43" xfId="0" applyNumberFormat="1" applyFill="1" applyBorder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0" fontId="12" fillId="52" borderId="0" xfId="0" applyFont="1" applyFill="1" applyAlignment="1">
      <alignment horizontal="center" vertical="center"/>
    </xf>
    <xf numFmtId="0" fontId="147" fillId="25" borderId="0" xfId="0" applyFont="1" applyFill="1" applyAlignment="1">
      <alignment horizontal="center" vertical="center"/>
    </xf>
    <xf numFmtId="0" fontId="10" fillId="0" borderId="0" xfId="0" applyFont="1"/>
    <xf numFmtId="179" fontId="2" fillId="0" borderId="0" xfId="3" applyNumberFormat="1" applyAlignment="1">
      <alignment horizontal="center" vertical="center"/>
    </xf>
    <xf numFmtId="0" fontId="8" fillId="0" borderId="0" xfId="3" applyFont="1" applyAlignment="1">
      <alignment horizontal="center" vertical="center"/>
    </xf>
    <xf numFmtId="1" fontId="2" fillId="0" borderId="0" xfId="3" applyNumberFormat="1" applyAlignment="1">
      <alignment horizontal="center" vertical="center"/>
    </xf>
    <xf numFmtId="0" fontId="148" fillId="0" borderId="0" xfId="0" applyFont="1"/>
    <xf numFmtId="0" fontId="10" fillId="0" borderId="0" xfId="3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3" borderId="0" xfId="0" applyFill="1"/>
    <xf numFmtId="0" fontId="8" fillId="0" borderId="43" xfId="0" applyFont="1" applyBorder="1" applyAlignment="1">
      <alignment horizontal="center" vertical="center" wrapText="1"/>
    </xf>
    <xf numFmtId="0" fontId="8" fillId="43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/>
    </xf>
    <xf numFmtId="2" fontId="0" fillId="43" borderId="72" xfId="0" applyNumberFormat="1" applyFill="1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1" fontId="0" fillId="0" borderId="72" xfId="0" applyNumberFormat="1" applyBorder="1" applyAlignment="1">
      <alignment horizontal="center" vertical="center"/>
    </xf>
    <xf numFmtId="0" fontId="8" fillId="43" borderId="72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0" fillId="43" borderId="43" xfId="0" applyNumberFormat="1" applyFill="1" applyBorder="1" applyAlignment="1">
      <alignment horizontal="center" vertical="center"/>
    </xf>
    <xf numFmtId="1" fontId="0" fillId="43" borderId="0" xfId="0" applyNumberFormat="1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66" fillId="3" borderId="74" xfId="0" applyFont="1" applyFill="1" applyBorder="1" applyAlignment="1">
      <alignment horizontal="center" vertical="center"/>
    </xf>
    <xf numFmtId="185" fontId="20" fillId="3" borderId="74" xfId="0" applyNumberFormat="1" applyFont="1" applyFill="1" applyBorder="1" applyAlignment="1">
      <alignment horizontal="center" vertical="center"/>
    </xf>
    <xf numFmtId="1" fontId="20" fillId="3" borderId="74" xfId="0" applyNumberFormat="1" applyFont="1" applyFill="1" applyBorder="1" applyAlignment="1">
      <alignment horizontal="center" vertical="center"/>
    </xf>
    <xf numFmtId="1" fontId="65" fillId="3" borderId="74" xfId="0" applyNumberFormat="1" applyFont="1" applyFill="1" applyBorder="1" applyAlignment="1">
      <alignment horizontal="center" vertical="center"/>
    </xf>
    <xf numFmtId="1" fontId="65" fillId="3" borderId="0" xfId="0" applyNumberFormat="1" applyFont="1" applyFill="1" applyAlignment="1">
      <alignment horizontal="center" vertical="center"/>
    </xf>
    <xf numFmtId="1" fontId="66" fillId="3" borderId="74" xfId="0" applyNumberFormat="1" applyFont="1" applyFill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2" fontId="54" fillId="0" borderId="41" xfId="0" applyNumberFormat="1" applyFont="1" applyBorder="1" applyAlignment="1">
      <alignment horizontal="center" vertical="center"/>
    </xf>
    <xf numFmtId="178" fontId="16" fillId="38" borderId="0" xfId="0" applyNumberFormat="1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2" fontId="29" fillId="19" borderId="0" xfId="0" applyNumberFormat="1" applyFont="1" applyFill="1" applyAlignment="1">
      <alignment horizontal="center" vertical="center"/>
    </xf>
    <xf numFmtId="178" fontId="6" fillId="19" borderId="0" xfId="0" applyNumberFormat="1" applyFont="1" applyFill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129" fillId="0" borderId="0" xfId="3" applyFont="1" applyAlignment="1">
      <alignment horizontal="center" vertical="center"/>
    </xf>
    <xf numFmtId="3" fontId="129" fillId="0" borderId="0" xfId="3" applyNumberFormat="1" applyFont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07" fillId="67" borderId="0" xfId="3" applyFont="1" applyFill="1" applyAlignment="1">
      <alignment horizontal="center" vertical="center"/>
    </xf>
    <xf numFmtId="0" fontId="22" fillId="67" borderId="0" xfId="3" applyFont="1" applyFill="1" applyAlignment="1">
      <alignment horizontal="center" vertical="center"/>
    </xf>
    <xf numFmtId="0" fontId="107" fillId="68" borderId="0" xfId="3" applyFont="1" applyFill="1" applyAlignment="1">
      <alignment horizontal="center" vertical="center"/>
    </xf>
    <xf numFmtId="0" fontId="22" fillId="68" borderId="0" xfId="3" applyFont="1" applyFill="1" applyAlignment="1">
      <alignment horizontal="center" vertical="center"/>
    </xf>
    <xf numFmtId="0" fontId="107" fillId="69" borderId="0" xfId="3" applyFont="1" applyFill="1" applyAlignment="1">
      <alignment horizontal="center" vertical="center"/>
    </xf>
    <xf numFmtId="0" fontId="22" fillId="69" borderId="0" xfId="3" applyFont="1" applyFill="1" applyAlignment="1">
      <alignment horizontal="center" vertical="center"/>
    </xf>
    <xf numFmtId="0" fontId="107" fillId="70" borderId="0" xfId="3" applyFont="1" applyFill="1" applyAlignment="1">
      <alignment horizontal="center" vertical="center"/>
    </xf>
    <xf numFmtId="0" fontId="22" fillId="70" borderId="0" xfId="3" applyFont="1" applyFill="1" applyAlignment="1">
      <alignment horizontal="center" vertical="center"/>
    </xf>
    <xf numFmtId="0" fontId="107" fillId="71" borderId="0" xfId="3" applyFont="1" applyFill="1" applyAlignment="1">
      <alignment horizontal="center" vertical="center"/>
    </xf>
    <xf numFmtId="0" fontId="22" fillId="71" borderId="0" xfId="3" applyFont="1" applyFill="1" applyAlignment="1">
      <alignment horizontal="center" vertical="center"/>
    </xf>
    <xf numFmtId="0" fontId="109" fillId="72" borderId="0" xfId="3" applyFont="1" applyFill="1" applyAlignment="1">
      <alignment horizontal="center" vertical="center"/>
    </xf>
    <xf numFmtId="0" fontId="36" fillId="72" borderId="0" xfId="3" applyFont="1" applyFill="1" applyAlignment="1">
      <alignment horizontal="center" vertical="center"/>
    </xf>
    <xf numFmtId="0" fontId="34" fillId="72" borderId="0" xfId="3" applyFont="1" applyFill="1" applyAlignment="1">
      <alignment vertical="center"/>
    </xf>
    <xf numFmtId="3" fontId="130" fillId="61" borderId="70" xfId="0" applyNumberFormat="1" applyFont="1" applyFill="1" applyBorder="1" applyAlignment="1">
      <alignment horizontal="center" vertical="center"/>
    </xf>
    <xf numFmtId="0" fontId="9" fillId="31" borderId="0" xfId="3" applyFont="1" applyFill="1" applyAlignment="1">
      <alignment horizontal="center" vertical="center"/>
    </xf>
    <xf numFmtId="0" fontId="9" fillId="31" borderId="0" xfId="3" applyFont="1" applyFill="1"/>
    <xf numFmtId="0" fontId="43" fillId="31" borderId="43" xfId="0" applyFont="1" applyFill="1" applyBorder="1" applyAlignment="1" applyProtection="1">
      <alignment horizontal="center" vertical="center"/>
      <protection locked="0"/>
    </xf>
    <xf numFmtId="0" fontId="9" fillId="37" borderId="43" xfId="0" applyFont="1" applyFill="1" applyBorder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2" fillId="31" borderId="0" xfId="0" applyFont="1" applyFill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53" fillId="37" borderId="0" xfId="0" applyFont="1" applyFill="1" applyAlignment="1">
      <alignment horizontal="center" vertical="center"/>
    </xf>
    <xf numFmtId="2" fontId="54" fillId="15" borderId="0" xfId="0" applyNumberFormat="1" applyFont="1" applyFill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45" fillId="15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10" fontId="66" fillId="0" borderId="49" xfId="0" applyNumberFormat="1" applyFont="1" applyBorder="1" applyAlignment="1">
      <alignment horizontal="center"/>
    </xf>
    <xf numFmtId="0" fontId="33" fillId="42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left" vertical="center" shrinkToFit="1"/>
    </xf>
    <xf numFmtId="0" fontId="10" fillId="11" borderId="0" xfId="0" applyFont="1" applyFill="1" applyAlignment="1">
      <alignment horizontal="center" vertical="center" shrinkToFit="1"/>
    </xf>
    <xf numFmtId="10" fontId="66" fillId="0" borderId="47" xfId="0" applyNumberFormat="1" applyFont="1" applyBorder="1" applyAlignment="1">
      <alignment horizontal="center"/>
    </xf>
    <xf numFmtId="0" fontId="56" fillId="39" borderId="0" xfId="0" applyFont="1" applyFill="1" applyAlignment="1">
      <alignment horizontal="center" vertical="center"/>
    </xf>
    <xf numFmtId="0" fontId="59" fillId="39" borderId="42" xfId="0" applyFont="1" applyFill="1" applyBorder="1" applyAlignment="1">
      <alignment horizontal="center" vertical="center"/>
    </xf>
    <xf numFmtId="0" fontId="74" fillId="39" borderId="45" xfId="0" applyFont="1" applyFill="1" applyBorder="1" applyAlignment="1">
      <alignment horizontal="center" vertical="center"/>
    </xf>
    <xf numFmtId="0" fontId="68" fillId="41" borderId="47" xfId="0" applyFont="1" applyFill="1" applyBorder="1" applyAlignment="1">
      <alignment horizontal="center" vertical="center"/>
    </xf>
    <xf numFmtId="0" fontId="9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8" fillId="45" borderId="0" xfId="0" applyFont="1" applyFill="1" applyAlignment="1">
      <alignment horizontal="center" vertical="center"/>
    </xf>
    <xf numFmtId="0" fontId="79" fillId="16" borderId="0" xfId="0" applyFont="1" applyFill="1" applyAlignment="1">
      <alignment horizontal="center" vertical="center"/>
    </xf>
    <xf numFmtId="0" fontId="80" fillId="10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20" fillId="0" borderId="0" xfId="3" applyFont="1"/>
    <xf numFmtId="0" fontId="102" fillId="0" borderId="0" xfId="3" applyFont="1"/>
    <xf numFmtId="0" fontId="100" fillId="16" borderId="0" xfId="3" applyFont="1" applyFill="1" applyAlignment="1">
      <alignment horizontal="center" vertical="center"/>
    </xf>
    <xf numFmtId="0" fontId="30" fillId="12" borderId="0" xfId="3" applyFont="1" applyFill="1" applyAlignment="1">
      <alignment horizontal="center" vertical="center"/>
    </xf>
    <xf numFmtId="0" fontId="18" fillId="26" borderId="54" xfId="3" applyFont="1" applyFill="1" applyBorder="1" applyAlignment="1">
      <alignment horizontal="center" vertical="center"/>
    </xf>
    <xf numFmtId="0" fontId="18" fillId="26" borderId="55" xfId="0" applyFont="1" applyFill="1" applyBorder="1" applyAlignment="1">
      <alignment horizontal="center" vertical="center"/>
    </xf>
    <xf numFmtId="0" fontId="27" fillId="46" borderId="55" xfId="3" applyFont="1" applyFill="1" applyBorder="1" applyAlignment="1">
      <alignment horizontal="center" vertical="center"/>
    </xf>
    <xf numFmtId="0" fontId="27" fillId="47" borderId="55" xfId="3" applyFont="1" applyFill="1" applyBorder="1" applyAlignment="1">
      <alignment horizontal="center" vertical="center"/>
    </xf>
    <xf numFmtId="0" fontId="59" fillId="48" borderId="56" xfId="3" applyFont="1" applyFill="1" applyBorder="1" applyAlignment="1">
      <alignment horizontal="center" vertical="center" wrapText="1"/>
    </xf>
    <xf numFmtId="0" fontId="18" fillId="48" borderId="56" xfId="3" applyFont="1" applyFill="1" applyBorder="1" applyAlignment="1">
      <alignment horizontal="center" vertical="center" wrapText="1"/>
    </xf>
    <xf numFmtId="0" fontId="117" fillId="22" borderId="0" xfId="0" applyFont="1" applyFill="1" applyAlignment="1">
      <alignment horizontal="center" vertical="center" wrapText="1"/>
    </xf>
    <xf numFmtId="0" fontId="44" fillId="41" borderId="0" xfId="0" applyFont="1" applyFill="1" applyAlignment="1">
      <alignment horizontal="center" vertical="center" wrapText="1"/>
    </xf>
    <xf numFmtId="0" fontId="111" fillId="51" borderId="0" xfId="0" applyFont="1" applyFill="1" applyAlignment="1">
      <alignment horizontal="center" vertical="center" wrapText="1"/>
    </xf>
    <xf numFmtId="0" fontId="112" fillId="0" borderId="0" xfId="0" applyFont="1" applyAlignment="1">
      <alignment horizontal="center" vertical="center" wrapText="1"/>
    </xf>
    <xf numFmtId="0" fontId="7" fillId="49" borderId="0" xfId="0" applyFont="1" applyFill="1" applyAlignment="1">
      <alignment horizontal="center" vertical="center" wrapText="1"/>
    </xf>
    <xf numFmtId="0" fontId="85" fillId="41" borderId="0" xfId="0" applyFont="1" applyFill="1" applyAlignment="1">
      <alignment horizontal="center" vertical="center" wrapText="1"/>
    </xf>
    <xf numFmtId="0" fontId="12" fillId="29" borderId="0" xfId="0" applyFont="1" applyFill="1" applyAlignment="1">
      <alignment horizontal="center" vertical="center" wrapText="1"/>
    </xf>
    <xf numFmtId="0" fontId="85" fillId="52" borderId="0" xfId="0" applyFont="1" applyFill="1" applyAlignment="1">
      <alignment horizontal="center" vertical="center" wrapText="1"/>
    </xf>
    <xf numFmtId="0" fontId="113" fillId="53" borderId="0" xfId="0" applyFont="1" applyFill="1" applyAlignment="1">
      <alignment horizontal="center" vertical="center" wrapText="1"/>
    </xf>
    <xf numFmtId="0" fontId="80" fillId="53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9" fillId="54" borderId="0" xfId="3" applyFont="1" applyFill="1" applyAlignment="1">
      <alignment horizontal="center" vertical="center"/>
    </xf>
    <xf numFmtId="0" fontId="120" fillId="19" borderId="67" xfId="3" applyFont="1" applyFill="1" applyBorder="1" applyAlignment="1">
      <alignment horizontal="center" vertical="center"/>
    </xf>
    <xf numFmtId="0" fontId="126" fillId="57" borderId="69" xfId="3" applyFont="1" applyFill="1" applyBorder="1" applyAlignment="1">
      <alignment horizontal="center" vertical="center"/>
    </xf>
    <xf numFmtId="0" fontId="126" fillId="59" borderId="69" xfId="0" applyFont="1" applyFill="1" applyBorder="1" applyAlignment="1">
      <alignment horizontal="center" vertical="center"/>
    </xf>
    <xf numFmtId="0" fontId="126" fillId="62" borderId="69" xfId="0" applyFont="1" applyFill="1" applyBorder="1" applyAlignment="1">
      <alignment horizontal="center" vertical="center"/>
    </xf>
    <xf numFmtId="0" fontId="80" fillId="65" borderId="43" xfId="0" applyFont="1" applyFill="1" applyBorder="1" applyAlignment="1" applyProtection="1">
      <alignment horizontal="center" vertical="center" wrapText="1" shrinkToFit="1"/>
      <protection locked="0"/>
    </xf>
    <xf numFmtId="0" fontId="85" fillId="53" borderId="71" xfId="0" applyFont="1" applyFill="1" applyBorder="1" applyAlignment="1">
      <alignment horizontal="center" vertical="center" wrapText="1"/>
    </xf>
    <xf numFmtId="0" fontId="85" fillId="53" borderId="0" xfId="0" applyFont="1" applyFill="1" applyAlignment="1">
      <alignment horizontal="center" vertical="center" wrapText="1"/>
    </xf>
    <xf numFmtId="187" fontId="6" fillId="26" borderId="43" xfId="0" applyNumberFormat="1" applyFont="1" applyFill="1" applyBorder="1" applyAlignment="1" applyProtection="1">
      <alignment horizontal="center" vertical="center" wrapText="1"/>
      <protection locked="0"/>
    </xf>
    <xf numFmtId="0" fontId="80" fillId="39" borderId="43" xfId="0" applyFont="1" applyFill="1" applyBorder="1" applyAlignment="1" applyProtection="1">
      <alignment horizontal="center" vertical="center" wrapText="1" shrinkToFit="1"/>
      <protection locked="0"/>
    </xf>
    <xf numFmtId="0" fontId="80" fillId="17" borderId="43" xfId="0" applyFont="1" applyFill="1" applyBorder="1" applyAlignment="1" applyProtection="1">
      <alignment horizontal="center" vertical="center" wrapText="1" shrinkToFit="1"/>
      <protection locked="0"/>
    </xf>
    <xf numFmtId="0" fontId="80" fillId="20" borderId="43" xfId="0" applyFont="1" applyFill="1" applyBorder="1" applyAlignment="1" applyProtection="1">
      <alignment horizontal="center" vertical="center" wrapText="1" shrinkToFit="1"/>
      <protection locked="0"/>
    </xf>
    <xf numFmtId="0" fontId="136" fillId="25" borderId="0" xfId="0" applyFont="1" applyFill="1" applyAlignment="1">
      <alignment horizontal="center" vertical="center"/>
    </xf>
    <xf numFmtId="0" fontId="137" fillId="28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146" fillId="0" borderId="0" xfId="0" applyFont="1" applyAlignment="1">
      <alignment horizontal="center" vertical="center"/>
    </xf>
  </cellXfs>
  <cellStyles count="12">
    <cellStyle name="一般" xfId="0" builtinId="0"/>
    <cellStyle name="一般 2" xfId="2" xr:uid="{00000000-0005-0000-0000-000006000000}"/>
    <cellStyle name="百分比" xfId="1" builtinId="5"/>
    <cellStyle name="百分比 2" xfId="11" xr:uid="{00000000-0005-0000-0000-00000F000000}"/>
    <cellStyle name="常规" xfId="3" xr:uid="{00000000-0005-0000-0000-000007000000}"/>
    <cellStyle name="常规 2" xfId="4" xr:uid="{00000000-0005-0000-0000-000008000000}"/>
    <cellStyle name="樣式 1" xfId="5" xr:uid="{00000000-0005-0000-0000-000009000000}"/>
    <cellStyle name="樣式 1 2" xfId="6" xr:uid="{00000000-0005-0000-0000-00000A000000}"/>
    <cellStyle name="樣式 2" xfId="7" xr:uid="{00000000-0005-0000-0000-00000B000000}"/>
    <cellStyle name="樣式 2 2" xfId="8" xr:uid="{00000000-0005-0000-0000-00000C000000}"/>
    <cellStyle name="樣式 3" xfId="9" xr:uid="{00000000-0005-0000-0000-00000D000000}"/>
    <cellStyle name="樣式 3 2" xfId="10" xr:uid="{00000000-0005-0000-0000-00000E000000}"/>
  </cellStyles>
  <dxfs count="47">
    <dxf>
      <fill>
        <patternFill>
          <bgColor theme="9" tint="0.39957884456923126"/>
        </patternFill>
      </fill>
    </dxf>
    <dxf>
      <fill>
        <patternFill>
          <bgColor rgb="FFFFCCFF"/>
        </patternFill>
      </fill>
    </dxf>
    <dxf>
      <fill>
        <patternFill>
          <bgColor theme="9" tint="0.39957884456923126"/>
        </patternFill>
      </fill>
    </dxf>
    <dxf>
      <fill>
        <patternFill>
          <bgColor rgb="FFF0DCEC"/>
        </patternFill>
      </fill>
    </dxf>
    <dxf>
      <font>
        <b/>
        <color rgb="FFD32F2F"/>
      </font>
      <fill>
        <patternFill>
          <bgColor rgb="FFFFEBEE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9D9D9"/>
      <rgbColor rgb="FFDCE6F2"/>
      <rgbColor rgb="FFFFFF00"/>
      <rgbColor rgb="FFF2DCE4"/>
      <rgbColor rgb="FFB8DEF2"/>
      <rgbColor rgb="FFBE0000"/>
      <rgbColor rgb="FF475C2D"/>
      <rgbColor rgb="FFF2F2F2"/>
      <rgbColor rgb="FF77933C"/>
      <rgbColor rgb="FFA86ED4"/>
      <rgbColor rgb="FF0070C0"/>
      <rgbColor rgb="FFBFBFBF"/>
      <rgbColor rgb="FF808080"/>
      <rgbColor rgb="FF95B3D7"/>
      <rgbColor rgb="FF7030A0"/>
      <rgbColor rgb="FFFDF7EE"/>
      <rgbColor rgb="FFDBEEF5"/>
      <rgbColor rgb="FF4A148C"/>
      <rgbColor rgb="FFFAB887"/>
      <rgbColor rgb="FF0D63C3"/>
      <rgbColor rgb="FFC6D9F1"/>
      <rgbColor rgb="FFF5F7EF"/>
      <rgbColor rgb="FFFFDDEB"/>
      <rgbColor rgb="FFD9E3C1"/>
      <rgbColor rgb="FFB9CDE5"/>
      <rgbColor rgb="FF7F7F7F"/>
      <rgbColor rgb="FFE6E0EC"/>
      <rgbColor rgb="FF00B050"/>
      <rgbColor rgb="FFFDEADE"/>
      <rgbColor rgb="FF00B0F0"/>
      <rgbColor rgb="FFE3F2FD"/>
      <rgbColor rgb="FFD1E6C6"/>
      <rgbColor rgb="FFEBF1DE"/>
      <rgbColor rgb="FF8FBDE2"/>
      <rgbColor rgb="FFFCA782"/>
      <rgbColor rgb="FFCDC2DB"/>
      <rgbColor rgb="FFFAC18F"/>
      <rgbColor rgb="FF366393"/>
      <rgbColor rgb="FF558ED5"/>
      <rgbColor rgb="FFC3D69B"/>
      <rgbColor rgb="FFFCD5B5"/>
      <rgbColor rgb="FFBDBDBD"/>
      <rgbColor rgb="FFE46D0B"/>
      <rgbColor rgb="FF5A5A5A"/>
      <rgbColor rgb="FFAAA5B5"/>
      <rgbColor rgb="FF002060"/>
      <rgbColor rgb="FF32772E"/>
      <rgbColor rgb="FF1F4D74"/>
      <rgbColor rgb="FF20272C"/>
      <rgbColor rgb="FFAA4308"/>
      <rgbColor rgb="FF624978"/>
      <rgbColor rgb="FF1A38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427320</xdr:colOff>
      <xdr:row>4</xdr:row>
      <xdr:rowOff>11160</xdr:rowOff>
    </xdr:from>
    <xdr:to>
      <xdr:col>6</xdr:col>
      <xdr:colOff>794160</xdr:colOff>
      <xdr:row>4</xdr:row>
      <xdr:rowOff>375480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28280" y="954000"/>
          <a:ext cx="366840" cy="36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187200</xdr:colOff>
      <xdr:row>4</xdr:row>
      <xdr:rowOff>36000</xdr:rowOff>
    </xdr:from>
    <xdr:to>
      <xdr:col>13</xdr:col>
      <xdr:colOff>528480</xdr:colOff>
      <xdr:row>4</xdr:row>
      <xdr:rowOff>375120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033760" y="978840"/>
          <a:ext cx="341280" cy="33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41040</xdr:colOff>
      <xdr:row>4</xdr:row>
      <xdr:rowOff>103320</xdr:rowOff>
    </xdr:from>
    <xdr:to>
      <xdr:col>16</xdr:col>
      <xdr:colOff>374760</xdr:colOff>
      <xdr:row>4</xdr:row>
      <xdr:rowOff>374760</xdr:rowOff>
    </xdr:to>
    <xdr:pic>
      <xdr:nvPicPr>
        <xdr:cNvPr id="4" name="圖片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876960" y="1046160"/>
          <a:ext cx="333720" cy="27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19080</xdr:colOff>
      <xdr:row>4</xdr:row>
      <xdr:rowOff>57960</xdr:rowOff>
    </xdr:from>
    <xdr:to>
      <xdr:col>11</xdr:col>
      <xdr:colOff>375840</xdr:colOff>
      <xdr:row>4</xdr:row>
      <xdr:rowOff>414720</xdr:rowOff>
    </xdr:to>
    <xdr:pic>
      <xdr:nvPicPr>
        <xdr:cNvPr id="5" name="圖片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3532040" y="1000800"/>
          <a:ext cx="356760" cy="35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28440</xdr:colOff>
      <xdr:row>4</xdr:row>
      <xdr:rowOff>9360</xdr:rowOff>
    </xdr:from>
    <xdr:to>
      <xdr:col>10</xdr:col>
      <xdr:colOff>376200</xdr:colOff>
      <xdr:row>4</xdr:row>
      <xdr:rowOff>374760</xdr:rowOff>
    </xdr:to>
    <xdr:pic>
      <xdr:nvPicPr>
        <xdr:cNvPr id="6" name="圖片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874240" y="952200"/>
          <a:ext cx="347760" cy="36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1169280</xdr:colOff>
      <xdr:row>2</xdr:row>
      <xdr:rowOff>73800</xdr:rowOff>
    </xdr:from>
    <xdr:to>
      <xdr:col>6</xdr:col>
      <xdr:colOff>102960</xdr:colOff>
      <xdr:row>2</xdr:row>
      <xdr:rowOff>423000</xdr:rowOff>
    </xdr:to>
    <xdr:pic>
      <xdr:nvPicPr>
        <xdr:cNvPr id="5" name="圖片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93440" y="807120"/>
          <a:ext cx="822960" cy="349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241300</xdr:colOff>
      <xdr:row>7</xdr:row>
      <xdr:rowOff>215900</xdr:rowOff>
    </xdr:from>
    <xdr:to>
      <xdr:col>23</xdr:col>
      <xdr:colOff>467065</xdr:colOff>
      <xdr:row>29</xdr:row>
      <xdr:rowOff>104811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6C286B8-8A22-4615-4052-6A842133B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9850" y="1606550"/>
          <a:ext cx="8315665" cy="4810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382320</xdr:colOff>
      <xdr:row>4</xdr:row>
      <xdr:rowOff>105480</xdr:rowOff>
    </xdr:from>
    <xdr:to>
      <xdr:col>28</xdr:col>
      <xdr:colOff>178920</xdr:colOff>
      <xdr:row>4</xdr:row>
      <xdr:rowOff>411840</xdr:rowOff>
    </xdr:to>
    <xdr:pic>
      <xdr:nvPicPr>
        <xdr:cNvPr id="7" name="圖片 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246360" y="1496160"/>
          <a:ext cx="452520" cy="30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523800</xdr:colOff>
      <xdr:row>4</xdr:row>
      <xdr:rowOff>95400</xdr:rowOff>
    </xdr:from>
    <xdr:to>
      <xdr:col>8</xdr:col>
      <xdr:colOff>134640</xdr:colOff>
      <xdr:row>4</xdr:row>
      <xdr:rowOff>388440</xdr:rowOff>
    </xdr:to>
    <xdr:pic>
      <xdr:nvPicPr>
        <xdr:cNvPr id="8" name="圖片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26200" y="1486080"/>
          <a:ext cx="533520" cy="29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608400</xdr:colOff>
      <xdr:row>4</xdr:row>
      <xdr:rowOff>105840</xdr:rowOff>
    </xdr:from>
    <xdr:to>
      <xdr:col>12</xdr:col>
      <xdr:colOff>2100</xdr:colOff>
      <xdr:row>4</xdr:row>
      <xdr:rowOff>400680</xdr:rowOff>
    </xdr:to>
    <xdr:pic>
      <xdr:nvPicPr>
        <xdr:cNvPr id="9" name="圖片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00960" y="1496520"/>
          <a:ext cx="132840" cy="29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858600</xdr:colOff>
      <xdr:row>1</xdr:row>
      <xdr:rowOff>343080</xdr:rowOff>
    </xdr:from>
    <xdr:to>
      <xdr:col>2</xdr:col>
      <xdr:colOff>495360</xdr:colOff>
      <xdr:row>3</xdr:row>
      <xdr:rowOff>63360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5400000">
          <a:off x="2087640" y="707400"/>
          <a:ext cx="501480" cy="78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657360</xdr:colOff>
      <xdr:row>3</xdr:row>
      <xdr:rowOff>9360</xdr:rowOff>
    </xdr:from>
    <xdr:to>
      <xdr:col>17</xdr:col>
      <xdr:colOff>517320</xdr:colOff>
      <xdr:row>4</xdr:row>
      <xdr:rowOff>21960</xdr:rowOff>
    </xdr:to>
    <xdr:pic>
      <xdr:nvPicPr>
        <xdr:cNvPr id="11" name="圖片 7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6270920" y="1295280"/>
          <a:ext cx="815400" cy="574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866880</xdr:colOff>
      <xdr:row>4</xdr:row>
      <xdr:rowOff>457200</xdr:rowOff>
    </xdr:from>
    <xdr:to>
      <xdr:col>7</xdr:col>
      <xdr:colOff>720</xdr:colOff>
      <xdr:row>6</xdr:row>
      <xdr:rowOff>64800</xdr:rowOff>
    </xdr:to>
    <xdr:pic>
      <xdr:nvPicPr>
        <xdr:cNvPr id="12" name="圖片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12000" y="1838160"/>
          <a:ext cx="1854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83"/>
  <sheetViews>
    <sheetView zoomScale="80" zoomScaleNormal="8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ColWidth="16.140625" defaultRowHeight="15.75"/>
  <cols>
    <col min="2" max="2" width="17" customWidth="1"/>
    <col min="5" max="5" width="20" customWidth="1"/>
    <col min="6" max="6" width="34.42578125" customWidth="1"/>
  </cols>
  <sheetData>
    <row r="1" spans="1:14" ht="21.75" customHeight="1">
      <c r="A1" s="515" t="s">
        <v>0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</row>
    <row r="2" spans="1:14" ht="21.75" customHeight="1">
      <c r="A2" s="2" t="s">
        <v>1</v>
      </c>
      <c r="B2" s="3">
        <f ca="1">TODAY()-1</f>
        <v>46290</v>
      </c>
      <c r="C2" s="2"/>
      <c r="D2" s="2" t="s">
        <v>2</v>
      </c>
      <c r="E2" s="4">
        <f ca="1">EOMONTH(TODAY(),0)-TODAY()-1</f>
        <v>3</v>
      </c>
      <c r="F2" s="2"/>
      <c r="G2" s="5" t="s">
        <v>3</v>
      </c>
      <c r="H2" s="6" t="s">
        <v>433</v>
      </c>
      <c r="I2" s="6"/>
      <c r="J2" s="5" t="s">
        <v>3</v>
      </c>
      <c r="K2" s="6" t="s">
        <v>434</v>
      </c>
      <c r="L2" s="6"/>
      <c r="M2" s="7"/>
      <c r="N2" s="7"/>
    </row>
    <row r="3" spans="1:14" ht="21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21.75" customHeight="1">
      <c r="A4" s="513" t="s">
        <v>4</v>
      </c>
      <c r="B4" s="513"/>
      <c r="C4" s="513"/>
      <c r="D4" s="513"/>
      <c r="E4" s="513"/>
      <c r="F4" s="513"/>
      <c r="G4" s="7"/>
      <c r="H4" s="513" t="s">
        <v>5</v>
      </c>
      <c r="I4" s="513"/>
      <c r="J4" s="513"/>
      <c r="K4" s="513"/>
      <c r="L4" s="513"/>
      <c r="M4" s="513"/>
      <c r="N4" s="513"/>
    </row>
    <row r="5" spans="1:14" ht="21.75" customHeight="1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7"/>
      <c r="H5" s="8" t="s">
        <v>8</v>
      </c>
      <c r="I5" s="8" t="s">
        <v>12</v>
      </c>
      <c r="J5" s="9" t="s">
        <v>13</v>
      </c>
      <c r="K5" s="9" t="s">
        <v>14</v>
      </c>
      <c r="L5" s="8" t="s">
        <v>15</v>
      </c>
      <c r="M5" s="8" t="s">
        <v>9</v>
      </c>
      <c r="N5" s="8" t="s">
        <v>16</v>
      </c>
    </row>
    <row r="6" spans="1:14" ht="21.75" customHeight="1">
      <c r="A6" s="10">
        <f>ROW(A1)</f>
        <v>1</v>
      </c>
      <c r="B6" s="11" t="str">
        <f ca="1">INDEX(【你的全部獎金】!$B$7:$B$26,MATCH($D6,【你的全部獎金】!$Q$7:$Q$26,0))</f>
        <v>黃庭鈞</v>
      </c>
      <c r="C6" s="11" t="str">
        <f ca="1">INDEX(【你的全部獎金】!$A$7:$A$26,MATCH($D6,【你的全部獎金】!$Q$7:$Q$26,0))</f>
        <v>區督導</v>
      </c>
      <c r="D6" s="12">
        <f ca="1">LARGE(【你的全部獎金】!$Q$7:$Q$26,ROW(A1))</f>
        <v>45886.270000000004</v>
      </c>
      <c r="E6" s="11" t="str">
        <f ca="1">IF(D6&gt;=14000,"🏆全壘打",IF(D6&gt;=10000,"⭐明星",IF(D6&gt;=7000,"💪優秀",IF(D6&gt;=4000,"✅合格","📈加油"))))</f>
        <v>🏆全壘打</v>
      </c>
      <c r="F6" s="13" t="str">
        <f ca="1">REPT("█",MIN(20,INT(D6/1000)))&amp;REPT("░",20-MIN(20,INT(D6/1000)))</f>
        <v>████████████████████</v>
      </c>
      <c r="G6" s="7"/>
      <c r="H6" s="11" t="s">
        <v>17</v>
      </c>
      <c r="I6" s="11">
        <v>4</v>
      </c>
      <c r="J6" s="14">
        <f>SUMIF($H33:$H37,$H6,$K33:$K37)</f>
        <v>98.5</v>
      </c>
      <c r="K6" s="14">
        <f>SUMIF($H$42:$H$46,$H6,$K$42:$K$46)</f>
        <v>520.95000000000005</v>
      </c>
      <c r="L6" s="11">
        <v>65</v>
      </c>
      <c r="M6" s="15">
        <f ca="1">SUMIF(【你的全部獎金】!$A$7:$A$26,$H6,【你的全部獎金】!$Q$7:$Q$26)</f>
        <v>71025.805666666667</v>
      </c>
      <c r="N6" s="15">
        <f ca="1">IFERROR(M6/I6,0)</f>
        <v>17756.451416666667</v>
      </c>
    </row>
    <row r="7" spans="1:14" ht="21.75" customHeight="1">
      <c r="A7" s="10">
        <f>ROW(A2)</f>
        <v>2</v>
      </c>
      <c r="B7" s="11" t="str">
        <f ca="1">INDEX(【你的全部獎金】!$B$7:$B$26,MATCH($D7,【你的全部獎金】!$Q$7:$Q$26,0))</f>
        <v>黃傑稜</v>
      </c>
      <c r="C7" s="11" t="str">
        <f ca="1">INDEX(【你的全部獎金】!$A$7:$A$26,MATCH($D7,【你的全部獎金】!$Q$7:$Q$26,0))</f>
        <v>仁雄店</v>
      </c>
      <c r="D7" s="12">
        <f ca="1">LARGE(【你的全部獎金】!$Q$7:$Q$26,ROW(A2))</f>
        <v>45734.167999999998</v>
      </c>
      <c r="E7" s="11" t="str">
        <f ca="1">IF(D7&gt;=14000,"🏆全壘打",IF(D7&gt;=10000,"⭐明星",IF(D7&gt;=7000,"💪優秀",IF(D7&gt;=4000,"✅合格","📈加油"))))</f>
        <v>🏆全壘打</v>
      </c>
      <c r="F7" s="13" t="str">
        <f ca="1">REPT("█",MIN(20,INT(D7/1000)))&amp;REPT("░",20-MIN(20,INT(D7/1000)))</f>
        <v>████████████████████</v>
      </c>
      <c r="G7" s="7"/>
      <c r="H7" s="11" t="s">
        <v>18</v>
      </c>
      <c r="I7" s="11">
        <v>3</v>
      </c>
      <c r="J7" s="14">
        <f>SUMIF($H34:$H38,$H7,$K34:$K38)</f>
        <v>65</v>
      </c>
      <c r="K7" s="14">
        <f>SUMIF($H$42:$H$46,$H7,$K$42:$K$46)</f>
        <v>380.45</v>
      </c>
      <c r="L7" s="11">
        <v>45</v>
      </c>
      <c r="M7" s="15">
        <f ca="1">SUMIF(【你的全部獎金】!$A$7:$A$26,$H7,【你的全部獎金】!$Q$7:$Q$26)</f>
        <v>53536.551111111112</v>
      </c>
      <c r="N7" s="15">
        <f ca="1">IFERROR(M7/I7,0)</f>
        <v>17845.517037037036</v>
      </c>
    </row>
    <row r="8" spans="1:14" ht="21.75" customHeight="1">
      <c r="A8" s="10">
        <f>ROW(A3)</f>
        <v>3</v>
      </c>
      <c r="B8" s="11" t="str">
        <f ca="1">INDEX(【你的全部獎金】!$B$7:$B$26,MATCH($D8,【你的全部獎金】!$Q$7:$Q$26,0))</f>
        <v>陳宛姍</v>
      </c>
      <c r="C8" s="11" t="str">
        <f ca="1">INDEX(【你的全部獎金】!$A$7:$A$26,MATCH($D8,【你的全部獎金】!$Q$7:$Q$26,0))</f>
        <v>凱旋店</v>
      </c>
      <c r="D8" s="12">
        <f ca="1">LARGE(【你的全部獎金】!$Q$7:$Q$26,ROW(A3))</f>
        <v>45290.482555555558</v>
      </c>
      <c r="E8" s="11" t="str">
        <f ca="1">IF(D8&gt;=14000,"🏆全壘打",IF(D8&gt;=10000,"⭐明星",IF(D8&gt;=7000,"💪優秀",IF(D8&gt;=4000,"✅合格","📈加油"))))</f>
        <v>🏆全壘打</v>
      </c>
      <c r="F8" s="13" t="str">
        <f ca="1">REPT("█",MIN(20,INT(D8/1000)))&amp;REPT("░",20-MIN(20,INT(D8/1000)))</f>
        <v>████████████████████</v>
      </c>
      <c r="G8" s="7"/>
      <c r="H8" s="11" t="s">
        <v>19</v>
      </c>
      <c r="I8" s="11">
        <v>3</v>
      </c>
      <c r="J8" s="14">
        <f>SUMIF($H35:$H39,$H8,$K35:$K39)</f>
        <v>41</v>
      </c>
      <c r="K8" s="14">
        <f>SUMIF($H$42:$H$46,$H8,$K$42:$K$46)</f>
        <v>468.7</v>
      </c>
      <c r="L8" s="11">
        <v>53</v>
      </c>
      <c r="M8" s="15">
        <f ca="1">SUMIF(【你的全部獎金】!$A$7:$A$26,$H8,【你的全部獎金】!$Q$7:$Q$26)</f>
        <v>68501.395000000004</v>
      </c>
      <c r="N8" s="15">
        <f ca="1">IFERROR(M8/I8,0)</f>
        <v>22833.798333333336</v>
      </c>
    </row>
    <row r="9" spans="1:14" ht="21.75" customHeight="1">
      <c r="A9" s="10">
        <f>ROW(A4)</f>
        <v>4</v>
      </c>
      <c r="B9" s="11" t="str">
        <f ca="1">INDEX(【你的全部獎金】!$B$7:$B$26,MATCH($D9,【你的全部獎金】!$Q$7:$Q$26,0))</f>
        <v>黃閔聖</v>
      </c>
      <c r="C9" s="11" t="str">
        <f ca="1">INDEX(【你的全部獎金】!$A$7:$A$26,MATCH($D9,【你的全部獎金】!$Q$7:$Q$26,0))</f>
        <v>後昌店</v>
      </c>
      <c r="D9" s="12">
        <f ca="1">LARGE(【你的全部獎金】!$Q$7:$Q$26,ROW(A4))</f>
        <v>42270.014444444445</v>
      </c>
      <c r="E9" s="11" t="str">
        <f ca="1">IF(D9&gt;=14000,"🏆全壘打",IF(D9&gt;=10000,"⭐明星",IF(D9&gt;=7000,"💪優秀",IF(D9&gt;=4000,"✅合格","📈加油"))))</f>
        <v>🏆全壘打</v>
      </c>
      <c r="F9" s="13" t="str">
        <f ca="1">REPT("█",MIN(20,INT(D9/1000)))&amp;REPT("░",20-MIN(20,INT(D9/1000)))</f>
        <v>████████████████████</v>
      </c>
      <c r="G9" s="7"/>
      <c r="H9" s="11" t="s">
        <v>20</v>
      </c>
      <c r="I9" s="11">
        <v>4</v>
      </c>
      <c r="J9" s="14">
        <f>SUMIF($H36:$H40,$H9,$K36:$K40)</f>
        <v>89</v>
      </c>
      <c r="K9" s="14">
        <f>SUMIF($H$42:$H$46,$H9,$K$42:$K$46)</f>
        <v>818.3</v>
      </c>
      <c r="L9" s="11">
        <v>78</v>
      </c>
      <c r="M9" s="15">
        <f ca="1">SUMIF(【你的全部獎金】!$A$7:$A$26,$H9,【你的全部獎金】!$Q$7:$Q$26)</f>
        <v>90441.457111111115</v>
      </c>
      <c r="N9" s="15">
        <f ca="1">IFERROR(M9/I9,0)</f>
        <v>22610.364277777779</v>
      </c>
    </row>
    <row r="10" spans="1:14" ht="21.75" customHeight="1">
      <c r="A10" s="10">
        <f>ROW(A5)</f>
        <v>5</v>
      </c>
      <c r="B10" s="11" t="str">
        <f ca="1">INDEX(【你的全部獎金】!$B$7:$B$26,MATCH($D10,【你的全部獎金】!$Q$7:$Q$26,0))</f>
        <v>邱雨蔚</v>
      </c>
      <c r="C10" s="11" t="str">
        <f ca="1">INDEX(【你的全部獎金】!$A$7:$A$26,MATCH($D10,【你的全部獎金】!$Q$7:$Q$26,0))</f>
        <v>陽明店</v>
      </c>
      <c r="D10" s="12">
        <f ca="1">LARGE(【你的全部獎金】!$Q$7:$Q$26,ROW(A5))</f>
        <v>36933.906666666669</v>
      </c>
      <c r="E10" s="11" t="str">
        <f ca="1">IF(D10&gt;=14000,"🏆全壘打",IF(D10&gt;=10000,"⭐明星",IF(D10&gt;=7000,"💪優秀",IF(D10&gt;=4000,"✅合格","📈加油"))))</f>
        <v>🏆全壘打</v>
      </c>
      <c r="F10" s="13" t="str">
        <f ca="1">REPT("█",MIN(20,INT(D10/1000)))&amp;REPT("░",20-MIN(20,INT(D10/1000)))</f>
        <v>████████████████████</v>
      </c>
      <c r="G10" s="7"/>
      <c r="H10" s="11" t="s">
        <v>21</v>
      </c>
      <c r="I10" s="11">
        <v>4</v>
      </c>
      <c r="J10" s="14">
        <f>SUMIF($H37:$H41,$H10,$K37:$K41)</f>
        <v>75</v>
      </c>
      <c r="K10" s="14">
        <f>SUMIF($H$42:$H$46,$H10,$K$42:$K$46)</f>
        <v>672.40000000000009</v>
      </c>
      <c r="L10" s="11">
        <v>71</v>
      </c>
      <c r="M10" s="15">
        <f ca="1">SUMIF(【你的全部獎金】!$A$7:$A$26,$H10,【你的全部獎金】!$Q$7:$Q$26)</f>
        <v>90937.111444444454</v>
      </c>
      <c r="N10" s="15">
        <f ca="1">IFERROR(M10/I10,0)</f>
        <v>22734.277861111113</v>
      </c>
    </row>
    <row r="11" spans="1:14" ht="21.75" customHeight="1">
      <c r="A11" s="7"/>
      <c r="B11" s="7"/>
      <c r="C11" s="7"/>
      <c r="D11" s="7"/>
      <c r="E11" s="7"/>
      <c r="F11" s="7"/>
      <c r="G11" s="7"/>
      <c r="H11" s="11" t="s">
        <v>22</v>
      </c>
      <c r="I11" s="11" t="s">
        <v>23</v>
      </c>
      <c r="J11" s="11"/>
      <c r="K11" s="11"/>
      <c r="L11" s="11"/>
      <c r="M11" s="15">
        <f ca="1">SUMIF(【你的全部獎金】!$A$7:$A$26,$H11,【你的全部獎金】!$Q$7:$Q$26)</f>
        <v>45886.270000000004</v>
      </c>
      <c r="N11" s="15"/>
    </row>
    <row r="12" spans="1:14" ht="21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21.75" customHeight="1">
      <c r="A13" s="516" t="s">
        <v>24</v>
      </c>
      <c r="B13" s="516"/>
      <c r="C13" s="516"/>
      <c r="D13" s="516"/>
      <c r="E13" s="516"/>
      <c r="F13" s="516"/>
      <c r="G13" s="7"/>
      <c r="H13" s="517" t="s">
        <v>25</v>
      </c>
      <c r="I13" s="517"/>
      <c r="J13" s="517"/>
      <c r="K13" s="517"/>
      <c r="L13" s="517"/>
      <c r="M13" s="517"/>
      <c r="N13" s="517"/>
    </row>
    <row r="14" spans="1:14" ht="21.75" customHeight="1">
      <c r="A14" s="16" t="s">
        <v>10</v>
      </c>
      <c r="B14" s="16" t="s">
        <v>26</v>
      </c>
      <c r="C14" s="16" t="s">
        <v>12</v>
      </c>
      <c r="D14" s="16" t="s">
        <v>27</v>
      </c>
      <c r="E14" s="17" t="s">
        <v>28</v>
      </c>
      <c r="F14" s="17"/>
      <c r="G14" s="7"/>
      <c r="H14" s="18" t="s">
        <v>29</v>
      </c>
      <c r="I14" s="19">
        <f>SUM(I6:I10)</f>
        <v>18</v>
      </c>
      <c r="J14" s="20" t="s">
        <v>30</v>
      </c>
      <c r="K14" s="21"/>
      <c r="L14" s="21"/>
      <c r="M14" s="21"/>
      <c r="N14" s="21"/>
    </row>
    <row r="15" spans="1:14" ht="21.75" customHeight="1">
      <c r="A15" s="22" t="s">
        <v>31</v>
      </c>
      <c r="B15" s="23" t="s">
        <v>32</v>
      </c>
      <c r="C15" s="22">
        <f ca="1">COUNTIFS(【你的全部獎金】!$Q$7:$Q$26,"&gt;=14000")</f>
        <v>13</v>
      </c>
      <c r="D15" s="24">
        <f ca="1">IFERROR(C15/19,0)</f>
        <v>0.68421052631578949</v>
      </c>
      <c r="E15" s="514" t="str">
        <f ca="1">REPT("●",C15)</f>
        <v>●●●●●●●●●●●●●</v>
      </c>
      <c r="F15" s="514"/>
      <c r="G15" s="7"/>
      <c r="H15" s="25" t="s">
        <v>9</v>
      </c>
      <c r="I15" s="15">
        <f ca="1">SUM(M6:M11)</f>
        <v>420328.59033333341</v>
      </c>
      <c r="J15" s="487" t="s">
        <v>423</v>
      </c>
      <c r="K15" s="27"/>
      <c r="L15" s="27"/>
      <c r="M15" s="27"/>
      <c r="N15" s="27"/>
    </row>
    <row r="16" spans="1:14" ht="21.75" customHeight="1">
      <c r="A16" s="22" t="s">
        <v>34</v>
      </c>
      <c r="B16" s="23" t="s">
        <v>35</v>
      </c>
      <c r="C16" s="22">
        <f ca="1">COUNTIFS(【你的全部獎金】!$Q$7:$Q$26,"&gt;=10000",【你的全部獎金】!$Q$7:$Q$26,"&lt;14000")</f>
        <v>2</v>
      </c>
      <c r="D16" s="24">
        <f ca="1">IFERROR(C16/19,0)</f>
        <v>0.10526315789473684</v>
      </c>
      <c r="E16" s="514" t="str">
        <f ca="1">REPT("●",C16)</f>
        <v>●●</v>
      </c>
      <c r="F16" s="514"/>
      <c r="G16" s="7"/>
      <c r="H16" s="25" t="s">
        <v>16</v>
      </c>
      <c r="I16" s="15">
        <f ca="1">I15/19</f>
        <v>22122.557385964916</v>
      </c>
      <c r="J16" s="26" t="s">
        <v>33</v>
      </c>
      <c r="K16" s="27"/>
      <c r="L16" s="27"/>
      <c r="M16" s="27"/>
      <c r="N16" s="27"/>
    </row>
    <row r="17" spans="1:14" ht="21.75" customHeight="1">
      <c r="A17" s="22" t="s">
        <v>36</v>
      </c>
      <c r="B17" s="23" t="s">
        <v>37</v>
      </c>
      <c r="C17" s="22">
        <f ca="1">COUNTIFS(【你的全部獎金】!$Q$7:$Q$26,"&gt;=7000",【你的全部獎金】!$Q$7:$Q$26,"&lt;10000")</f>
        <v>2</v>
      </c>
      <c r="D17" s="24">
        <f ca="1">IFERROR(C17/19,0)</f>
        <v>0.10526315789473684</v>
      </c>
      <c r="E17" s="514" t="str">
        <f ca="1">REPT("●",C17)</f>
        <v>●●</v>
      </c>
      <c r="F17" s="514"/>
      <c r="G17" s="7"/>
      <c r="H17" s="25" t="s">
        <v>38</v>
      </c>
      <c r="I17" s="15">
        <f ca="1">MAX(【你的全部獎金】!Q7:Q26)</f>
        <v>45886.270000000004</v>
      </c>
      <c r="J17" s="26" t="s">
        <v>33</v>
      </c>
      <c r="K17" s="27"/>
      <c r="L17" s="27"/>
      <c r="M17" s="27"/>
      <c r="N17" s="27"/>
    </row>
    <row r="18" spans="1:14" ht="21.75" customHeight="1">
      <c r="A18" s="22" t="s">
        <v>39</v>
      </c>
      <c r="B18" s="23" t="s">
        <v>40</v>
      </c>
      <c r="C18" s="22">
        <f ca="1">COUNTIFS(【你的全部獎金】!$Q$7:$Q$26,"&gt;=4000",【你的全部獎金】!$Q$7:$Q$26,"&lt;7000")</f>
        <v>1</v>
      </c>
      <c r="D18" s="24">
        <f ca="1">IFERROR(C18/19,0)</f>
        <v>5.2631578947368418E-2</v>
      </c>
      <c r="E18" s="514" t="str">
        <f ca="1">REPT("●",C18)</f>
        <v>●</v>
      </c>
      <c r="F18" s="514"/>
      <c r="G18" s="7"/>
      <c r="H18" s="25" t="s">
        <v>41</v>
      </c>
      <c r="I18" s="15">
        <f ca="1">MIN(【你的全部獎金】!Q7:Q26)</f>
        <v>2850</v>
      </c>
      <c r="J18" s="26" t="s">
        <v>33</v>
      </c>
      <c r="K18" s="27"/>
      <c r="L18" s="27"/>
      <c r="M18" s="27"/>
      <c r="N18" s="27"/>
    </row>
    <row r="19" spans="1:14" ht="21.75" customHeight="1">
      <c r="A19" s="22" t="s">
        <v>42</v>
      </c>
      <c r="B19" s="23" t="s">
        <v>43</v>
      </c>
      <c r="C19" s="22">
        <f ca="1">COUNTIFS(【你的全部獎金】!$Q$7:$Q$26,"&lt;4000")</f>
        <v>1</v>
      </c>
      <c r="D19" s="24">
        <f ca="1">IFERROR(C19/19,0)</f>
        <v>5.2631578947368418E-2</v>
      </c>
      <c r="E19" s="514" t="str">
        <f ca="1">REPT("●",C19)</f>
        <v>●</v>
      </c>
      <c r="F19" s="514"/>
      <c r="G19" s="7"/>
      <c r="H19" s="25" t="s">
        <v>44</v>
      </c>
      <c r="I19" s="28">
        <f>SUM(J6:J10)</f>
        <v>368.5</v>
      </c>
      <c r="J19" s="26" t="s">
        <v>45</v>
      </c>
      <c r="K19" s="27"/>
      <c r="L19" s="27"/>
      <c r="M19" s="27"/>
      <c r="N19" s="27"/>
    </row>
    <row r="21" spans="1:14" ht="21.75" customHeight="1">
      <c r="H21" s="513" t="s">
        <v>46</v>
      </c>
      <c r="I21" s="513"/>
      <c r="J21" s="513"/>
      <c r="K21" s="513"/>
      <c r="L21" s="513"/>
    </row>
    <row r="22" spans="1:14" ht="21.75" customHeight="1">
      <c r="D22" s="29"/>
      <c r="H22" s="513"/>
      <c r="I22" s="513"/>
      <c r="J22" s="513"/>
      <c r="K22" s="513"/>
      <c r="L22" s="513"/>
    </row>
    <row r="23" spans="1:14" ht="21.75" customHeight="1">
      <c r="H23" s="8"/>
      <c r="I23" s="8" t="s">
        <v>47</v>
      </c>
      <c r="J23" s="8" t="s">
        <v>48</v>
      </c>
      <c r="K23" s="8" t="s">
        <v>49</v>
      </c>
      <c r="L23" s="8" t="s">
        <v>50</v>
      </c>
    </row>
    <row r="24" spans="1:14" ht="21.75" customHeight="1">
      <c r="B24" s="30">
        <f>100000/20</f>
        <v>5000</v>
      </c>
      <c r="H24" s="31" t="s">
        <v>17</v>
      </c>
      <c r="I24" s="32">
        <f>340000</f>
        <v>340000</v>
      </c>
      <c r="J24" s="32">
        <v>338442.49</v>
      </c>
      <c r="K24" s="33">
        <f>J24/I24</f>
        <v>0.99541908823529412</v>
      </c>
      <c r="L24" s="34" t="str">
        <f>IF(J24&lt;I24,"-8000","0")</f>
        <v>-8000</v>
      </c>
    </row>
    <row r="25" spans="1:14" ht="21.75" customHeight="1">
      <c r="F25" s="30"/>
      <c r="H25" s="35" t="s">
        <v>18</v>
      </c>
      <c r="I25" s="36">
        <f>250000+(4762*6)</f>
        <v>278572</v>
      </c>
      <c r="J25" s="36">
        <v>329851.20000000007</v>
      </c>
      <c r="K25" s="37">
        <f>J25/I25</f>
        <v>1.1840788018896373</v>
      </c>
      <c r="L25" s="38" t="str">
        <f>IF(J25&lt;I25,"-8000","0")</f>
        <v>0</v>
      </c>
    </row>
    <row r="26" spans="1:14" ht="21.75" customHeight="1">
      <c r="H26" s="35" t="s">
        <v>19</v>
      </c>
      <c r="I26" s="36">
        <f>240000+(4762*4)</f>
        <v>259048</v>
      </c>
      <c r="J26" s="36">
        <v>325608.40000000002</v>
      </c>
      <c r="K26" s="37">
        <f>J26/I26</f>
        <v>1.2569423427318489</v>
      </c>
      <c r="L26" s="38" t="str">
        <f>IF(J26&lt;I26,"-8000","0")</f>
        <v>0</v>
      </c>
    </row>
    <row r="27" spans="1:14" ht="21.75" customHeight="1">
      <c r="H27" s="35" t="s">
        <v>20</v>
      </c>
      <c r="I27" s="36">
        <f>340000</f>
        <v>340000</v>
      </c>
      <c r="J27" s="36">
        <v>420841.92000000004</v>
      </c>
      <c r="K27" s="37">
        <f>J27/I27</f>
        <v>1.2377703529411765</v>
      </c>
      <c r="L27" s="38" t="str">
        <f>IF(J27&lt;I27,"-8000","0")</f>
        <v>0</v>
      </c>
    </row>
    <row r="28" spans="1:14" ht="21.75" customHeight="1">
      <c r="H28" s="39" t="s">
        <v>21</v>
      </c>
      <c r="I28" s="40">
        <f>320000+(4762*11)</f>
        <v>372382</v>
      </c>
      <c r="J28" s="40">
        <v>427500.18</v>
      </c>
      <c r="K28" s="41">
        <f>J28/I28</f>
        <v>1.1480151564790995</v>
      </c>
      <c r="L28" s="42" t="str">
        <f>IF(J28&lt;I28,"-8000","0")</f>
        <v>0</v>
      </c>
    </row>
    <row r="30" spans="1:14" ht="21.75" customHeight="1">
      <c r="H30" s="512" t="s">
        <v>51</v>
      </c>
      <c r="I30" s="512"/>
      <c r="J30" s="512"/>
      <c r="K30" s="512"/>
      <c r="L30" s="512"/>
      <c r="M30" s="512"/>
    </row>
    <row r="31" spans="1:14" ht="21.75" customHeight="1">
      <c r="H31" s="512"/>
      <c r="I31" s="512"/>
      <c r="J31" s="512"/>
      <c r="K31" s="512"/>
      <c r="L31" s="512"/>
      <c r="M31" s="512"/>
    </row>
    <row r="32" spans="1:14" ht="21.75" customHeight="1">
      <c r="H32" s="8"/>
      <c r="I32" s="8" t="s">
        <v>52</v>
      </c>
      <c r="J32" s="43">
        <v>0.7</v>
      </c>
      <c r="K32" s="8" t="s">
        <v>48</v>
      </c>
      <c r="L32" s="8" t="s">
        <v>49</v>
      </c>
      <c r="M32" s="8" t="s">
        <v>50</v>
      </c>
    </row>
    <row r="33" spans="8:13" ht="21.75" customHeight="1">
      <c r="H33" s="31" t="s">
        <v>17</v>
      </c>
      <c r="I33" s="44">
        <v>135</v>
      </c>
      <c r="J33" s="45">
        <f>I33*J32</f>
        <v>94.5</v>
      </c>
      <c r="K33" s="32">
        <v>98.5</v>
      </c>
      <c r="L33" s="33">
        <f>K33/J33</f>
        <v>1.0423280423280423</v>
      </c>
      <c r="M33" s="34" t="str">
        <f>IF(K33&lt;J33,"-2500","0")</f>
        <v>0</v>
      </c>
    </row>
    <row r="34" spans="8:13" ht="21.75" customHeight="1">
      <c r="H34" s="35" t="s">
        <v>18</v>
      </c>
      <c r="I34" s="44">
        <v>135</v>
      </c>
      <c r="J34" s="47">
        <f>I34*J32</f>
        <v>94.5</v>
      </c>
      <c r="K34" s="48">
        <v>65</v>
      </c>
      <c r="L34" s="37">
        <f>K34/J34</f>
        <v>0.68783068783068779</v>
      </c>
      <c r="M34" s="38" t="str">
        <f>IF(K34&lt;J34,"-2000","0")</f>
        <v>-2000</v>
      </c>
    </row>
    <row r="35" spans="8:13" ht="21.75" customHeight="1">
      <c r="H35" s="35" t="s">
        <v>19</v>
      </c>
      <c r="I35" s="44">
        <v>135</v>
      </c>
      <c r="J35" s="47">
        <f>I35*J32</f>
        <v>94.5</v>
      </c>
      <c r="K35" s="48">
        <v>41</v>
      </c>
      <c r="L35" s="37">
        <f>K35/J35</f>
        <v>0.43386243386243384</v>
      </c>
      <c r="M35" s="38" t="str">
        <f>IF(K35&lt;J35,"-2500","0")</f>
        <v>-2500</v>
      </c>
    </row>
    <row r="36" spans="8:13" ht="21.75" customHeight="1">
      <c r="H36" s="35" t="s">
        <v>20</v>
      </c>
      <c r="I36" s="44">
        <v>135</v>
      </c>
      <c r="J36" s="47">
        <f>I36*J32</f>
        <v>94.5</v>
      </c>
      <c r="K36" s="48">
        <v>89</v>
      </c>
      <c r="L36" s="37">
        <f>K36/J36</f>
        <v>0.94179894179894175</v>
      </c>
      <c r="M36" s="38" t="str">
        <f>IF(K36&lt;J36,"-2500","0")</f>
        <v>-2500</v>
      </c>
    </row>
    <row r="37" spans="8:13" ht="21.75" customHeight="1">
      <c r="H37" s="39" t="s">
        <v>21</v>
      </c>
      <c r="I37" s="44">
        <v>135</v>
      </c>
      <c r="J37" s="50">
        <f>I37*J32</f>
        <v>94.5</v>
      </c>
      <c r="K37" s="51">
        <v>75</v>
      </c>
      <c r="L37" s="41">
        <f>K37/J37</f>
        <v>0.79365079365079361</v>
      </c>
      <c r="M37" s="42" t="str">
        <f>IF(K37&lt;J37,"-2500","0")</f>
        <v>-2500</v>
      </c>
    </row>
    <row r="39" spans="8:13" ht="21.75" customHeight="1">
      <c r="H39" s="512" t="s">
        <v>53</v>
      </c>
      <c r="I39" s="512"/>
      <c r="J39" s="512"/>
      <c r="K39" s="512"/>
      <c r="L39" s="512"/>
      <c r="M39" s="512"/>
    </row>
    <row r="40" spans="8:13" ht="21.75" customHeight="1">
      <c r="H40" s="512"/>
      <c r="I40" s="512"/>
      <c r="J40" s="512"/>
      <c r="K40" s="512"/>
      <c r="L40" s="512"/>
      <c r="M40" s="512"/>
    </row>
    <row r="41" spans="8:13" ht="21.75" customHeight="1">
      <c r="H41" s="8"/>
      <c r="I41" s="8" t="s">
        <v>52</v>
      </c>
      <c r="J41" s="43">
        <v>0.9</v>
      </c>
      <c r="K41" s="8" t="s">
        <v>48</v>
      </c>
      <c r="L41" s="8" t="s">
        <v>49</v>
      </c>
      <c r="M41" s="8" t="s">
        <v>50</v>
      </c>
    </row>
    <row r="42" spans="8:13" ht="21.75" customHeight="1">
      <c r="H42" s="31" t="s">
        <v>17</v>
      </c>
      <c r="I42" s="44">
        <v>1210</v>
      </c>
      <c r="J42" s="52">
        <f>I42*J41</f>
        <v>1089</v>
      </c>
      <c r="K42" s="53">
        <v>520.95000000000005</v>
      </c>
      <c r="L42" s="33">
        <f>K42/J42</f>
        <v>0.47837465564738296</v>
      </c>
      <c r="M42" s="34" t="str">
        <f>IF(K42&lt;J42,"-2500","0")</f>
        <v>-2500</v>
      </c>
    </row>
    <row r="43" spans="8:13" ht="21.75" customHeight="1">
      <c r="H43" s="35" t="s">
        <v>18</v>
      </c>
      <c r="I43" s="46">
        <v>921</v>
      </c>
      <c r="J43" s="47">
        <f>I43*J41</f>
        <v>828.9</v>
      </c>
      <c r="K43" s="54">
        <v>380.45</v>
      </c>
      <c r="L43" s="37">
        <f>K43/J43</f>
        <v>0.45898178308601761</v>
      </c>
      <c r="M43" s="38" t="str">
        <f>IF(K43&lt;J43,"-2000","0")</f>
        <v>-2000</v>
      </c>
    </row>
    <row r="44" spans="8:13" ht="21.75" customHeight="1">
      <c r="H44" s="35" t="s">
        <v>19</v>
      </c>
      <c r="I44" s="46">
        <v>921</v>
      </c>
      <c r="J44" s="47">
        <f>I44*J41</f>
        <v>828.9</v>
      </c>
      <c r="K44" s="54">
        <v>468.7</v>
      </c>
      <c r="L44" s="37">
        <f>K44/J44</f>
        <v>0.56544818434069244</v>
      </c>
      <c r="M44" s="38" t="str">
        <f>IF(K44&lt;J44,"-2500","0")</f>
        <v>-2500</v>
      </c>
    </row>
    <row r="45" spans="8:13" ht="21.75" customHeight="1">
      <c r="H45" s="35" t="s">
        <v>20</v>
      </c>
      <c r="I45" s="46">
        <v>1210</v>
      </c>
      <c r="J45" s="47">
        <f>I45*J41</f>
        <v>1089</v>
      </c>
      <c r="K45" s="54">
        <v>818.3</v>
      </c>
      <c r="L45" s="37">
        <f>K45/J45</f>
        <v>0.75142332415059687</v>
      </c>
      <c r="M45" s="38" t="str">
        <f>IF(K45&lt;J45,"-2500","0")</f>
        <v>-2500</v>
      </c>
    </row>
    <row r="46" spans="8:13" ht="21.75" customHeight="1">
      <c r="H46" s="39" t="s">
        <v>21</v>
      </c>
      <c r="I46" s="49">
        <v>1184</v>
      </c>
      <c r="J46" s="50">
        <f>I46*J41</f>
        <v>1065.6000000000001</v>
      </c>
      <c r="K46" s="55">
        <v>672.40000000000009</v>
      </c>
      <c r="L46" s="41">
        <f>K46/J46</f>
        <v>0.63100600600600598</v>
      </c>
      <c r="M46" s="42" t="str">
        <f>IF(K46&lt;J46,"-2500","0")</f>
        <v>-2500</v>
      </c>
    </row>
    <row r="48" spans="8:13" ht="21.75" customHeight="1">
      <c r="H48" s="512" t="s">
        <v>54</v>
      </c>
      <c r="I48" s="512"/>
      <c r="J48" s="512"/>
      <c r="K48" s="512"/>
      <c r="L48" s="512"/>
      <c r="M48" s="512"/>
    </row>
    <row r="49" spans="8:13" ht="21.75" customHeight="1">
      <c r="H49" s="512"/>
      <c r="I49" s="512"/>
      <c r="J49" s="512"/>
      <c r="K49" s="512"/>
      <c r="L49" s="512"/>
      <c r="M49" s="512"/>
    </row>
    <row r="50" spans="8:13" ht="21.75" customHeight="1">
      <c r="H50" s="8"/>
      <c r="I50" s="8" t="s">
        <v>52</v>
      </c>
      <c r="J50" s="8">
        <v>0.5</v>
      </c>
      <c r="K50" s="8" t="s">
        <v>48</v>
      </c>
      <c r="L50" s="8" t="s">
        <v>49</v>
      </c>
      <c r="M50" s="8" t="s">
        <v>50</v>
      </c>
    </row>
    <row r="51" spans="8:13" ht="21.75" customHeight="1">
      <c r="H51" s="31" t="s">
        <v>17</v>
      </c>
      <c r="I51" s="44">
        <v>5</v>
      </c>
      <c r="J51" s="45">
        <f>I51/2</f>
        <v>2.5</v>
      </c>
      <c r="K51" s="53">
        <v>2</v>
      </c>
      <c r="L51" s="56"/>
      <c r="M51" s="34" t="str">
        <f>IF(K51&lt;J51,"-8000","0")</f>
        <v>-8000</v>
      </c>
    </row>
    <row r="52" spans="8:13" ht="21.75" customHeight="1">
      <c r="H52" s="35" t="s">
        <v>18</v>
      </c>
      <c r="I52" s="46">
        <v>4</v>
      </c>
      <c r="J52" s="47">
        <f>I52/2</f>
        <v>2</v>
      </c>
      <c r="K52" s="54">
        <v>0</v>
      </c>
      <c r="L52" s="57"/>
      <c r="M52" s="38" t="str">
        <f>IF(K52&lt;J52,"-8000","0")</f>
        <v>-8000</v>
      </c>
    </row>
    <row r="53" spans="8:13" ht="21.75" customHeight="1">
      <c r="H53" s="35" t="s">
        <v>19</v>
      </c>
      <c r="I53" s="46">
        <v>4</v>
      </c>
      <c r="J53" s="47">
        <f>I53/2</f>
        <v>2</v>
      </c>
      <c r="K53" s="54">
        <v>1</v>
      </c>
      <c r="L53" s="57"/>
      <c r="M53" s="38" t="str">
        <f>IF(K53&lt;J53,"-8000","0")</f>
        <v>-8000</v>
      </c>
    </row>
    <row r="54" spans="8:13" ht="21.75" customHeight="1">
      <c r="H54" s="35" t="s">
        <v>20</v>
      </c>
      <c r="I54" s="46">
        <v>5</v>
      </c>
      <c r="J54" s="47">
        <f>I54/2</f>
        <v>2.5</v>
      </c>
      <c r="K54" s="54">
        <v>0</v>
      </c>
      <c r="L54" s="57"/>
      <c r="M54" s="38" t="str">
        <f>IF(K54&lt;J54,"-8000","0")</f>
        <v>-8000</v>
      </c>
    </row>
    <row r="55" spans="8:13" ht="21.75" customHeight="1">
      <c r="H55" s="39" t="s">
        <v>21</v>
      </c>
      <c r="I55" s="49">
        <v>6</v>
      </c>
      <c r="J55" s="50">
        <f>I55/2</f>
        <v>3</v>
      </c>
      <c r="K55" s="55">
        <v>5</v>
      </c>
      <c r="L55" s="58"/>
      <c r="M55" s="42" t="str">
        <f>IF(K55&lt;J55,"-8000","0")</f>
        <v>0</v>
      </c>
    </row>
    <row r="56" spans="8:13">
      <c r="I56" s="59">
        <f>SUM(I51:I55)</f>
        <v>24</v>
      </c>
      <c r="J56" s="59"/>
      <c r="K56" s="59">
        <f>SUM(K51:K55)</f>
        <v>8</v>
      </c>
    </row>
    <row r="57" spans="8:13" ht="21.75" customHeight="1">
      <c r="H57" s="512" t="s">
        <v>55</v>
      </c>
      <c r="I57" s="512"/>
      <c r="J57" s="512"/>
      <c r="K57" s="512"/>
      <c r="L57" s="512"/>
      <c r="M57" s="512"/>
    </row>
    <row r="58" spans="8:13" ht="21.75" customHeight="1">
      <c r="H58" s="512"/>
      <c r="I58" s="512"/>
      <c r="J58" s="512"/>
      <c r="K58" s="512"/>
      <c r="L58" s="512"/>
      <c r="M58" s="512"/>
    </row>
    <row r="59" spans="8:13" ht="21.75" customHeight="1">
      <c r="H59" s="8"/>
      <c r="I59" s="8" t="s">
        <v>52</v>
      </c>
      <c r="J59" s="8">
        <v>0.5</v>
      </c>
      <c r="K59" s="8" t="s">
        <v>48</v>
      </c>
      <c r="L59" s="8" t="s">
        <v>49</v>
      </c>
      <c r="M59" s="8" t="s">
        <v>50</v>
      </c>
    </row>
    <row r="60" spans="8:13" ht="21.75" customHeight="1">
      <c r="H60" s="31" t="s">
        <v>17</v>
      </c>
      <c r="I60" s="44">
        <v>10</v>
      </c>
      <c r="J60" s="45">
        <f>I60/2</f>
        <v>5</v>
      </c>
      <c r="K60" s="53">
        <v>5</v>
      </c>
      <c r="L60" s="56"/>
      <c r="M60" s="34" t="str">
        <f>IF(K60&lt;J60,"-8000","0")</f>
        <v>0</v>
      </c>
    </row>
    <row r="61" spans="8:13" ht="21.75" customHeight="1">
      <c r="H61" s="35" t="s">
        <v>18</v>
      </c>
      <c r="I61" s="46">
        <v>7</v>
      </c>
      <c r="J61" s="47">
        <f>I61/2</f>
        <v>3.5</v>
      </c>
      <c r="K61" s="54">
        <v>2</v>
      </c>
      <c r="L61" s="57"/>
      <c r="M61" s="38" t="str">
        <f>IF(K61&lt;J61,"-8000","0")</f>
        <v>-8000</v>
      </c>
    </row>
    <row r="62" spans="8:13" ht="21.75" customHeight="1">
      <c r="H62" s="35" t="s">
        <v>19</v>
      </c>
      <c r="I62" s="46">
        <v>9</v>
      </c>
      <c r="J62" s="47">
        <f>I62/2</f>
        <v>4.5</v>
      </c>
      <c r="K62" s="54">
        <v>4</v>
      </c>
      <c r="L62" s="57"/>
      <c r="M62" s="38" t="str">
        <f>IF(K62&lt;J62,"-8000","0")</f>
        <v>-8000</v>
      </c>
    </row>
    <row r="63" spans="8:13" ht="21.75" customHeight="1">
      <c r="H63" s="35" t="s">
        <v>20</v>
      </c>
      <c r="I63" s="46">
        <v>8</v>
      </c>
      <c r="J63" s="47">
        <f>I63/2</f>
        <v>4</v>
      </c>
      <c r="K63" s="54">
        <v>0</v>
      </c>
      <c r="L63" s="57"/>
      <c r="M63" s="38" t="str">
        <f>IF(K63&lt;J63,"-8000","0")</f>
        <v>-8000</v>
      </c>
    </row>
    <row r="64" spans="8:13" ht="21.75" customHeight="1">
      <c r="H64" s="39" t="s">
        <v>21</v>
      </c>
      <c r="I64" s="49">
        <v>10</v>
      </c>
      <c r="J64" s="50">
        <f>I64/2</f>
        <v>5</v>
      </c>
      <c r="K64" s="55">
        <v>9</v>
      </c>
      <c r="L64" s="58"/>
      <c r="M64" s="42" t="str">
        <f>IF(K64&lt;J64,"-8000","0")</f>
        <v>0</v>
      </c>
    </row>
    <row r="65" spans="8:13">
      <c r="I65" s="59">
        <f>SUM(I60:I64)</f>
        <v>44</v>
      </c>
      <c r="J65" s="59"/>
      <c r="K65" s="60">
        <f>SUM(K60:K64)</f>
        <v>20</v>
      </c>
    </row>
    <row r="66" spans="8:13" ht="21.75" customHeight="1">
      <c r="H66" s="512" t="s">
        <v>56</v>
      </c>
      <c r="I66" s="512"/>
      <c r="J66" s="512"/>
      <c r="K66" s="512"/>
      <c r="L66" s="512"/>
      <c r="M66" s="512"/>
    </row>
    <row r="67" spans="8:13" ht="21.75" customHeight="1">
      <c r="H67" s="512"/>
      <c r="I67" s="512"/>
      <c r="J67" s="512"/>
      <c r="K67" s="512"/>
      <c r="L67" s="512"/>
      <c r="M67" s="512"/>
    </row>
    <row r="68" spans="8:13" ht="21.75" customHeight="1">
      <c r="H68" s="8"/>
      <c r="I68" s="8" t="s">
        <v>52</v>
      </c>
      <c r="J68" s="8">
        <v>0.5</v>
      </c>
      <c r="K68" s="8" t="s">
        <v>48</v>
      </c>
      <c r="L68" s="8" t="s">
        <v>49</v>
      </c>
      <c r="M68" s="8" t="s">
        <v>50</v>
      </c>
    </row>
    <row r="69" spans="8:13" ht="21.75" customHeight="1">
      <c r="H69" s="31" t="s">
        <v>17</v>
      </c>
      <c r="I69" s="44">
        <v>42</v>
      </c>
      <c r="J69" s="45">
        <f>I69/2</f>
        <v>21</v>
      </c>
      <c r="K69" s="53">
        <v>23.5</v>
      </c>
      <c r="L69" s="56"/>
      <c r="M69" s="38" t="str">
        <f>IF(K69&lt;J69,"-8000","0")</f>
        <v>0</v>
      </c>
    </row>
    <row r="70" spans="8:13" ht="21.75" customHeight="1">
      <c r="H70" s="35" t="s">
        <v>18</v>
      </c>
      <c r="I70" s="46">
        <v>36</v>
      </c>
      <c r="J70" s="47">
        <f>I70/2</f>
        <v>18</v>
      </c>
      <c r="K70" s="54">
        <v>26</v>
      </c>
      <c r="L70" s="57"/>
      <c r="M70" s="38" t="str">
        <f>IF(K70&lt;J70,"-8000","0")</f>
        <v>0</v>
      </c>
    </row>
    <row r="71" spans="8:13" ht="21.75" customHeight="1">
      <c r="H71" s="35" t="s">
        <v>19</v>
      </c>
      <c r="I71" s="46">
        <v>38</v>
      </c>
      <c r="J71" s="47">
        <f>I71/2</f>
        <v>19</v>
      </c>
      <c r="K71" s="54">
        <v>22</v>
      </c>
      <c r="L71" s="57"/>
      <c r="M71" s="38" t="str">
        <f>IF(K71&lt;J71,"-8000","0")</f>
        <v>0</v>
      </c>
    </row>
    <row r="72" spans="8:13" ht="21.75" customHeight="1">
      <c r="H72" s="35" t="s">
        <v>20</v>
      </c>
      <c r="I72" s="46">
        <v>38</v>
      </c>
      <c r="J72" s="47">
        <f>I72/2</f>
        <v>19</v>
      </c>
      <c r="K72" s="54">
        <v>8</v>
      </c>
      <c r="L72" s="57"/>
      <c r="M72" s="38" t="str">
        <f>IF(K72&lt;J72,"-8000","0")</f>
        <v>-8000</v>
      </c>
    </row>
    <row r="73" spans="8:13" ht="21.75" customHeight="1">
      <c r="H73" s="39" t="s">
        <v>21</v>
      </c>
      <c r="I73" s="49">
        <v>48</v>
      </c>
      <c r="J73" s="50">
        <f>I73/2</f>
        <v>24</v>
      </c>
      <c r="K73" s="55">
        <v>32.5</v>
      </c>
      <c r="L73" s="58"/>
      <c r="M73" s="42" t="str">
        <f>IF(K73&lt;J73,"-8000","0")</f>
        <v>0</v>
      </c>
    </row>
    <row r="74" spans="8:13">
      <c r="I74" s="59">
        <f>SUM(I69:I73)</f>
        <v>202</v>
      </c>
      <c r="J74" s="59"/>
      <c r="K74" s="59">
        <f>SUM(K69:K73)</f>
        <v>112</v>
      </c>
    </row>
    <row r="75" spans="8:13" ht="21.75" customHeight="1">
      <c r="H75" s="512" t="s">
        <v>57</v>
      </c>
      <c r="I75" s="512"/>
      <c r="J75" s="512"/>
      <c r="K75" s="512"/>
      <c r="L75" s="512"/>
      <c r="M75" s="512"/>
    </row>
    <row r="76" spans="8:13" ht="21.75" customHeight="1">
      <c r="H76" s="512"/>
      <c r="I76" s="512"/>
      <c r="J76" s="512"/>
      <c r="K76" s="512"/>
      <c r="L76" s="512"/>
      <c r="M76" s="512"/>
    </row>
    <row r="77" spans="8:13" ht="21.75" customHeight="1">
      <c r="H77" s="8"/>
      <c r="I77" s="8" t="s">
        <v>52</v>
      </c>
      <c r="J77" s="8">
        <v>0.5</v>
      </c>
      <c r="K77" s="8" t="s">
        <v>48</v>
      </c>
      <c r="L77" s="8" t="s">
        <v>49</v>
      </c>
      <c r="M77" s="8" t="s">
        <v>50</v>
      </c>
    </row>
    <row r="78" spans="8:13" ht="21.75" customHeight="1">
      <c r="H78" s="31" t="s">
        <v>17</v>
      </c>
      <c r="I78" s="44">
        <v>16</v>
      </c>
      <c r="J78" s="45">
        <f>I78/2</f>
        <v>8</v>
      </c>
      <c r="K78" s="53">
        <v>15</v>
      </c>
      <c r="L78" s="56"/>
      <c r="M78" s="38" t="str">
        <f>IF(K78&lt;J78,"-8000","0")</f>
        <v>0</v>
      </c>
    </row>
    <row r="79" spans="8:13" ht="21.75" customHeight="1">
      <c r="H79" s="35" t="s">
        <v>18</v>
      </c>
      <c r="I79" s="46">
        <v>13</v>
      </c>
      <c r="J79" s="47">
        <f>I79/2</f>
        <v>6.5</v>
      </c>
      <c r="K79" s="54">
        <v>18</v>
      </c>
      <c r="L79" s="57"/>
      <c r="M79" s="38" t="str">
        <f>IF(K79&lt;J79,"-8000","0")</f>
        <v>0</v>
      </c>
    </row>
    <row r="80" spans="8:13" ht="21.75" customHeight="1">
      <c r="H80" s="35" t="s">
        <v>19</v>
      </c>
      <c r="I80" s="46">
        <v>13</v>
      </c>
      <c r="J80" s="47">
        <f>I80/2</f>
        <v>6.5</v>
      </c>
      <c r="K80" s="54">
        <v>11</v>
      </c>
      <c r="L80" s="57"/>
      <c r="M80" s="38" t="str">
        <f>IF(K80&lt;J80,"-8000","0")</f>
        <v>0</v>
      </c>
    </row>
    <row r="81" spans="8:13" ht="21.75" customHeight="1">
      <c r="H81" s="35" t="s">
        <v>20</v>
      </c>
      <c r="I81" s="46">
        <v>15</v>
      </c>
      <c r="J81" s="47">
        <f>I81/2</f>
        <v>7.5</v>
      </c>
      <c r="K81" s="54">
        <v>9</v>
      </c>
      <c r="L81" s="57"/>
      <c r="M81" s="38" t="str">
        <f>IF(K81&lt;J81,"-8000","0")</f>
        <v>0</v>
      </c>
    </row>
    <row r="82" spans="8:13" ht="21.75" customHeight="1">
      <c r="H82" s="39" t="s">
        <v>21</v>
      </c>
      <c r="I82" s="49">
        <v>16</v>
      </c>
      <c r="J82" s="50">
        <f>I82/2</f>
        <v>8</v>
      </c>
      <c r="K82" s="55">
        <v>15</v>
      </c>
      <c r="L82" s="58"/>
      <c r="M82" s="42" t="str">
        <f>IF(K82&lt;J82,"-8000","0")</f>
        <v>0</v>
      </c>
    </row>
    <row r="83" spans="8:13">
      <c r="I83" s="59">
        <f>SUM(I78:I82)</f>
        <v>73</v>
      </c>
      <c r="J83" s="59"/>
      <c r="K83" s="59">
        <f>SUM(K78:K82)</f>
        <v>68</v>
      </c>
    </row>
  </sheetData>
  <mergeCells count="17">
    <mergeCell ref="A1:N1"/>
    <mergeCell ref="A4:F4"/>
    <mergeCell ref="H4:N4"/>
    <mergeCell ref="A13:F13"/>
    <mergeCell ref="H13:N13"/>
    <mergeCell ref="E15:F15"/>
    <mergeCell ref="E16:F16"/>
    <mergeCell ref="E17:F17"/>
    <mergeCell ref="E18:F18"/>
    <mergeCell ref="E19:F19"/>
    <mergeCell ref="H66:M67"/>
    <mergeCell ref="H75:M76"/>
    <mergeCell ref="H21:L22"/>
    <mergeCell ref="H30:M31"/>
    <mergeCell ref="H39:M40"/>
    <mergeCell ref="H48:M49"/>
    <mergeCell ref="H57:M58"/>
  </mergeCells>
  <phoneticPr fontId="149" type="noConversion"/>
  <conditionalFormatting sqref="K33:K36">
    <cfRule type="containsText" dxfId="46" priority="7" operator="containsText" text="繼續超越目標">
      <formula>NOT(ISERROR(SEARCH("繼續超越目標",K33)))</formula>
    </cfRule>
  </conditionalFormatting>
  <conditionalFormatting sqref="K42:K46">
    <cfRule type="containsText" dxfId="45" priority="6" operator="containsText" text="繼續超越目標">
      <formula>NOT(ISERROR(SEARCH("繼續超越目標",K42)))</formula>
    </cfRule>
  </conditionalFormatting>
  <conditionalFormatting sqref="K51:K55">
    <cfRule type="containsText" dxfId="44" priority="5" operator="containsText" text="繼續超越目標">
      <formula>NOT(ISERROR(SEARCH("繼續超越目標",K51)))</formula>
    </cfRule>
  </conditionalFormatting>
  <conditionalFormatting sqref="K60:K64">
    <cfRule type="containsText" dxfId="43" priority="4" operator="containsText" text="繼續超越目標">
      <formula>NOT(ISERROR(SEARCH("繼續超越目標",K60)))</formula>
    </cfRule>
  </conditionalFormatting>
  <conditionalFormatting sqref="K69:K73">
    <cfRule type="containsText" dxfId="42" priority="2" operator="containsText" text="繼續超越目標">
      <formula>NOT(ISERROR(SEARCH("繼續超越目標",K69)))</formula>
    </cfRule>
  </conditionalFormatting>
  <conditionalFormatting sqref="K78:K82">
    <cfRule type="containsText" dxfId="41" priority="3" operator="containsText" text="繼續超越目標">
      <formula>NOT(ISERROR(SEARCH("繼續超越目標",K78)))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X34"/>
  <sheetViews>
    <sheetView zoomScale="80" zoomScaleNormal="80" workbookViewId="0">
      <pane ySplit="6" topLeftCell="A7" activePane="bottomLeft" state="frozen"/>
      <selection pane="bottomLeft" activeCell="C16" sqref="C16"/>
    </sheetView>
  </sheetViews>
  <sheetFormatPr defaultColWidth="9.140625" defaultRowHeight="15" outlineLevelCol="1"/>
  <cols>
    <col min="1" max="1" width="12" style="61" customWidth="1"/>
    <col min="2" max="2" width="10" style="61" customWidth="1"/>
    <col min="3" max="3" width="8" style="61" customWidth="1"/>
    <col min="4" max="10" width="14.7109375" style="61" customWidth="1"/>
    <col min="11" max="13" width="18.7109375" style="61" customWidth="1"/>
    <col min="14" max="14" width="9.7109375" style="61" customWidth="1"/>
    <col min="15" max="15" width="12.5703125" style="61" customWidth="1"/>
    <col min="16" max="16" width="12.5703125" style="61" hidden="1" customWidth="1" outlineLevel="1"/>
    <col min="17" max="17" width="21.42578125" style="61" customWidth="1" collapsed="1"/>
    <col min="18" max="18" width="13.7109375" style="61" customWidth="1"/>
    <col min="19" max="19" width="15.85546875" style="61" customWidth="1"/>
    <col min="20" max="20" width="7.5703125" style="61" customWidth="1"/>
    <col min="21" max="16384" width="9.140625" style="7"/>
  </cols>
  <sheetData>
    <row r="1" spans="1:24" s="61" customFormat="1" ht="27.7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/>
      <c r="S1" s="64"/>
      <c r="T1" s="64"/>
    </row>
    <row r="2" spans="1:24" s="61" customFormat="1" ht="15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7"/>
      <c r="R2" s="68" t="s">
        <v>58</v>
      </c>
      <c r="S2" s="69">
        <f ca="1">_xlfn.PERCENTILE.INC($R$7:$R$25,0.8)</f>
        <v>4.7958999658119659</v>
      </c>
      <c r="T2" s="70"/>
    </row>
    <row r="3" spans="1:24" s="77" customFormat="1" ht="16.5" customHeight="1">
      <c r="A3" s="65"/>
      <c r="B3" s="65"/>
      <c r="C3" s="65"/>
      <c r="D3" s="65"/>
      <c r="E3" s="65"/>
      <c r="F3" s="65"/>
      <c r="G3" s="65"/>
      <c r="H3" s="65"/>
      <c r="I3" s="71" t="s">
        <v>59</v>
      </c>
      <c r="J3" s="65"/>
      <c r="K3" s="65"/>
      <c r="L3" s="65"/>
      <c r="M3" s="65"/>
      <c r="N3" s="72" t="s">
        <v>60</v>
      </c>
      <c r="O3" s="65"/>
      <c r="P3" s="66"/>
      <c r="Q3" s="73">
        <f ca="1">Q27</f>
        <v>420328.59033333336</v>
      </c>
      <c r="R3" s="74" t="s">
        <v>61</v>
      </c>
      <c r="S3" s="75">
        <f ca="1">_xlfn.PERCENTILE.INC($R$7:$R$25,0.4)</f>
        <v>1.8892338393162393</v>
      </c>
      <c r="T3" s="76"/>
    </row>
    <row r="4" spans="1:24" ht="1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9"/>
      <c r="Q4" s="80"/>
      <c r="R4" s="81" t="s">
        <v>62</v>
      </c>
      <c r="S4" s="82">
        <f ca="1">_xlfn.PERCENTILE.INC($R$7:$R$25,0.15)</f>
        <v>0.76923076923076916</v>
      </c>
      <c r="T4" s="70"/>
    </row>
    <row r="5" spans="1:24" s="61" customFormat="1" ht="33.75" customHeight="1">
      <c r="A5" s="83"/>
      <c r="B5" s="84" t="s">
        <v>63</v>
      </c>
      <c r="C5" s="85"/>
      <c r="D5" s="86"/>
      <c r="E5" s="87"/>
      <c r="F5" s="88"/>
      <c r="G5" s="88"/>
      <c r="H5" s="89" t="s">
        <v>64</v>
      </c>
      <c r="I5" s="88"/>
      <c r="J5" s="88"/>
      <c r="K5" s="90" t="s">
        <v>65</v>
      </c>
      <c r="L5" s="91" t="s">
        <v>66</v>
      </c>
      <c r="M5" s="92" t="s">
        <v>67</v>
      </c>
      <c r="N5" s="93"/>
      <c r="O5" s="94" t="s">
        <v>68</v>
      </c>
      <c r="P5" s="95" t="s">
        <v>69</v>
      </c>
      <c r="Q5" s="96" t="s">
        <v>70</v>
      </c>
      <c r="R5" s="97" t="s">
        <v>71</v>
      </c>
      <c r="S5" s="98" t="s">
        <v>72</v>
      </c>
      <c r="T5" s="99"/>
    </row>
    <row r="6" spans="1:24" s="115" customFormat="1" ht="29.25" customHeight="1">
      <c r="A6" s="100" t="s">
        <v>8</v>
      </c>
      <c r="B6" s="101" t="s">
        <v>7</v>
      </c>
      <c r="C6" s="101" t="s">
        <v>73</v>
      </c>
      <c r="D6" s="102" t="s">
        <v>74</v>
      </c>
      <c r="E6" s="103" t="s">
        <v>75</v>
      </c>
      <c r="F6" s="103" t="s">
        <v>76</v>
      </c>
      <c r="G6" s="103" t="s">
        <v>77</v>
      </c>
      <c r="H6" s="104" t="s">
        <v>78</v>
      </c>
      <c r="I6" s="104" t="s">
        <v>79</v>
      </c>
      <c r="J6" s="103" t="s">
        <v>80</v>
      </c>
      <c r="K6" s="105" t="s">
        <v>81</v>
      </c>
      <c r="L6" s="106" t="s">
        <v>82</v>
      </c>
      <c r="M6" s="107" t="s">
        <v>82</v>
      </c>
      <c r="N6" s="108" t="s">
        <v>83</v>
      </c>
      <c r="O6" s="109" t="s">
        <v>50</v>
      </c>
      <c r="P6" s="110" t="s">
        <v>84</v>
      </c>
      <c r="Q6" s="111" t="s">
        <v>85</v>
      </c>
      <c r="R6" s="112" t="s">
        <v>86</v>
      </c>
      <c r="S6" s="113" t="s">
        <v>87</v>
      </c>
      <c r="T6" s="114"/>
    </row>
    <row r="7" spans="1:24" ht="21.75" customHeight="1">
      <c r="A7" s="129" t="s">
        <v>20</v>
      </c>
      <c r="B7" s="117" t="s">
        <v>93</v>
      </c>
      <c r="C7" s="117" t="s">
        <v>91</v>
      </c>
      <c r="D7" s="118">
        <f>SUMIF(■我的基礎獎金!$A$58:$A$77,$B7,■我的基礎獎金!$B$58:$B$77)</f>
        <v>3550</v>
      </c>
      <c r="E7" s="119">
        <f>SUMIF(■我的基礎獎金!$A$58:$A$77,$B7,■我的基礎獎金!$C$58:$C$77)</f>
        <v>900</v>
      </c>
      <c r="F7" s="119">
        <f>SUMIF(■我的基礎獎金!$A$58:$A$77,$B7,■我的基礎獎金!$D$58:$D$77)</f>
        <v>2000</v>
      </c>
      <c r="G7" s="119">
        <f>SUMIF(■我的基礎獎金!$A$58:$A$77,$B7,■我的基礎獎金!$E$58:$E$77)</f>
        <v>1400</v>
      </c>
      <c r="H7" s="119">
        <f>SUMIF(■我的基礎獎金!$A$58:$A$77,$B7,■我的基礎獎金!$F$58:$F$77)</f>
        <v>800</v>
      </c>
      <c r="I7" s="119">
        <f>SUMIF(■我的基礎獎金!$A$58:$A$77,$B7,■我的基礎獎金!$G$58:$G$77)</f>
        <v>625</v>
      </c>
      <c r="J7" s="119">
        <f>SUMIF(■我的基礎獎金!$A$58:$A$77,$B7,■我的基礎獎金!$H$58:$H$77)</f>
        <v>0</v>
      </c>
      <c r="K7" s="120">
        <f t="shared" ref="K7:K25" si="0">SUM(D7:J7)</f>
        <v>9275</v>
      </c>
      <c r="L7" s="121">
        <f ca="1">SUMIF('2. 毛利分潤獎金'!$B$4:$B$32,$B7,'2. 毛利分潤獎金'!$H$4:$H$32)</f>
        <v>23459.167999999998</v>
      </c>
      <c r="M7" s="122">
        <f>SUMIF('🏆 追星獎'!$C$9:$C$27,$B7,'🏆 追星獎'!$G$9:$G$27)</f>
        <v>8000</v>
      </c>
      <c r="N7" s="123">
        <f ca="1">SUMIF('3. 全壘打得分表'!$B$6:$B$25,$B7,'3. 全壘打得分表'!$AC$6:$AC$25)</f>
        <v>12.26438359092564</v>
      </c>
      <c r="O7" s="124">
        <f ca="1">SUMIF('3. 全壘打得分表'!$B$6:$B$25,$B7,'3. 全壘打得分表'!$E$6:$E$25)</f>
        <v>5000</v>
      </c>
      <c r="P7" s="125">
        <f>SUMIF(■我的KPI獎金!$B:$B,$B7,■我的KPI獎金!$D:$D)</f>
        <v>-3500</v>
      </c>
      <c r="Q7" s="126">
        <f t="shared" ref="Q7:Q25" ca="1" si="1">SUM(K7,L7,M7,O7)</f>
        <v>45734.167999999998</v>
      </c>
      <c r="R7" s="127">
        <f ca="1">S7/130000+(SUMIF(數據!$A:$A,$B7,數據!$AI:$AI))</f>
        <v>5.3091027692307691</v>
      </c>
      <c r="S7" s="130">
        <f ca="1">SUMIF('1. 基礎獎金 + 獎金排名'!$C:$C,$B7,'1. 基礎獎金 + 獎金排名'!$O:$O)+SUMIF('2. 毛利分潤獎金'!$B:$B,$B7,'2. 毛利分潤獎金'!$D:$D)</f>
        <v>690183.36</v>
      </c>
      <c r="T7" s="7"/>
    </row>
    <row r="8" spans="1:24" ht="21.75" customHeight="1">
      <c r="A8" s="129" t="s">
        <v>18</v>
      </c>
      <c r="B8" s="117" t="s">
        <v>98</v>
      </c>
      <c r="C8" s="117" t="s">
        <v>89</v>
      </c>
      <c r="D8" s="118">
        <f>SUMIF(■我的基礎獎金!$A$58:$A$77,$B8,■我的基礎獎金!$B$58:$B$77)</f>
        <v>4700</v>
      </c>
      <c r="E8" s="119">
        <f>SUMIF(■我的基礎獎金!$A$58:$A$77,$B8,■我的基礎獎金!$C$58:$C$77)</f>
        <v>1200</v>
      </c>
      <c r="F8" s="119">
        <f>SUMIF(■我的基礎獎金!$A$58:$A$77,$B8,■我的基礎獎金!$D$58:$D$77)</f>
        <v>1300</v>
      </c>
      <c r="G8" s="119">
        <f>SUMIF(■我的基礎獎金!$A$58:$A$77,$B8,■我的基礎獎金!$E$58:$E$77)</f>
        <v>800</v>
      </c>
      <c r="H8" s="119">
        <f>SUMIF(■我的基礎獎金!$A$58:$A$77,$B8,■我的基礎獎金!$F$58:$F$77)</f>
        <v>500</v>
      </c>
      <c r="I8" s="119">
        <f>SUMIF(■我的基礎獎金!$A$58:$A$77,$B8,■我的基礎獎金!$G$58:$G$77)</f>
        <v>500</v>
      </c>
      <c r="J8" s="119">
        <f>SUMIF(■我的基礎獎金!$A$58:$A$77,$B8,■我的基礎獎金!$H$58:$H$77)</f>
        <v>0</v>
      </c>
      <c r="K8" s="120">
        <f t="shared" si="0"/>
        <v>9000</v>
      </c>
      <c r="L8" s="121">
        <f ca="1">SUMIF('2. 毛利分潤獎金'!$B$4:$B$32,$B8,'2. 毛利分潤獎金'!$H$4:$H$32)</f>
        <v>20933.906666666669</v>
      </c>
      <c r="M8" s="122">
        <f>SUMIF('🏆 追星獎'!$C$9:$C$27,$B8,'🏆 追星獎'!$G$9:$G$27)</f>
        <v>3000</v>
      </c>
      <c r="N8" s="123">
        <f ca="1">SUMIF('3. 全壘打得分表'!$B$6:$B$25,$B8,'3. 全壘打得分表'!$AC$6:$AC$25)</f>
        <v>11.364228483360431</v>
      </c>
      <c r="O8" s="124">
        <f ca="1">SUMIF('3. 全壘打得分表'!$B$6:$B$25,$B8,'3. 全壘打得分表'!$E$6:$E$25)</f>
        <v>4000</v>
      </c>
      <c r="P8" s="125">
        <f>SUMIF(■我的KPI獎金!$B:$B,$B8,■我的KPI獎金!$D:$D)</f>
        <v>-3500</v>
      </c>
      <c r="Q8" s="126">
        <f t="shared" ca="1" si="1"/>
        <v>36933.906666666669</v>
      </c>
      <c r="R8" s="127">
        <f ca="1">S8/130000+(SUMIF(數據!$A:$A,$B8,數據!$AI:$AI))</f>
        <v>4.7629087179487186</v>
      </c>
      <c r="S8" s="130">
        <f ca="1">SUMIF('1. 基礎獎金 + 獎金排名'!$C:$C,$B8,'1. 基礎獎金 + 獎金排名'!$O:$O)+SUMIF('2. 毛利分潤獎金'!$B:$B,$B8,'2. 毛利分潤獎金'!$D:$D)</f>
        <v>619178.13333333342</v>
      </c>
      <c r="T8" s="7"/>
    </row>
    <row r="9" spans="1:24" ht="21.75" customHeight="1">
      <c r="A9" s="129" t="s">
        <v>22</v>
      </c>
      <c r="B9" s="117" t="s">
        <v>23</v>
      </c>
      <c r="C9" s="117" t="s">
        <v>95</v>
      </c>
      <c r="D9" s="118">
        <f>SUMIF(■我的基礎獎金!$A$58:$A$77,$B9,■我的基礎獎金!$B$58:$B$77)</f>
        <v>1650</v>
      </c>
      <c r="E9" s="119">
        <f>SUMIF(■我的基礎獎金!$A$58:$A$77,$B9,■我的基礎獎金!$C$58:$C$77)</f>
        <v>300</v>
      </c>
      <c r="F9" s="119">
        <f>SUMIF(■我的基礎獎金!$A$58:$A$77,$B9,■我的基礎獎金!$D$58:$D$77)</f>
        <v>1200</v>
      </c>
      <c r="G9" s="119">
        <f>SUMIF(■我的基礎獎金!$A$58:$A$77,$B9,■我的基礎獎金!$E$58:$E$77)</f>
        <v>800</v>
      </c>
      <c r="H9" s="119">
        <f>SUMIF(■我的基礎獎金!$A$58:$A$77,$B9,■我的基礎獎金!$F$58:$F$77)</f>
        <v>1400</v>
      </c>
      <c r="I9" s="119">
        <f>SUMIF(■我的基礎獎金!$A$58:$A$77,$B9,■我的基礎獎金!$G$58:$G$77)</f>
        <v>2125</v>
      </c>
      <c r="J9" s="119">
        <f>SUMIF(■我的基礎獎金!$A$58:$A$77,$B9,■我的基礎獎金!$H$58:$H$77)</f>
        <v>500</v>
      </c>
      <c r="K9" s="120">
        <f t="shared" si="0"/>
        <v>7975</v>
      </c>
      <c r="L9" s="121">
        <f ca="1">SUMIF('2. 毛利分潤獎金'!$B$4:$B$32,$B9,'2. 毛利分潤獎金'!$H$4:$H$32)</f>
        <v>27911.27</v>
      </c>
      <c r="M9" s="122">
        <f>SUMIF('🏆 追星獎'!$C$9:$C$27,$B9,'🏆 追星獎'!$G$9:$G$27)</f>
        <v>3000</v>
      </c>
      <c r="N9" s="123">
        <f ca="1">SUMIF('3. 全壘打得分表'!$B$6:$B$25,$B9,'3. 全壘打得分表'!$AC$6:$AC$25)</f>
        <v>16.496489621489623</v>
      </c>
      <c r="O9" s="124">
        <f ca="1">SUMIF('3. 全壘打得分表'!$B$6:$B$25,$B9,'3. 全壘打得分表'!$E$6:$E$25)</f>
        <v>7000</v>
      </c>
      <c r="P9" s="125">
        <f>SUMIF(■我的KPI獎金!$B:$B,$B9,■我的KPI獎金!$D:$D)</f>
        <v>-2500</v>
      </c>
      <c r="Q9" s="126">
        <f t="shared" ca="1" si="1"/>
        <v>45886.270000000004</v>
      </c>
      <c r="R9" s="127">
        <f ca="1">S9/130000+(SUMIF(數據!$A:$A,$B9,數據!$AI:$AI))</f>
        <v>5.5978876923076921</v>
      </c>
      <c r="S9" s="128">
        <f ca="1">SUMIF('1. 基礎獎金 + 獎金排名'!$C:$C,$B9,'1. 基礎獎金 + 獎金排名'!$O:$O)+SUMIF('2. 毛利分潤獎金'!$B:$B,$B9,'2. 毛利分潤獎金'!$D:$D)</f>
        <v>727725.4</v>
      </c>
      <c r="T9" s="7"/>
    </row>
    <row r="10" spans="1:24" ht="21.75" customHeight="1">
      <c r="A10" s="129" t="s">
        <v>21</v>
      </c>
      <c r="B10" s="117" t="s">
        <v>90</v>
      </c>
      <c r="C10" s="117" t="s">
        <v>91</v>
      </c>
      <c r="D10" s="118">
        <f>SUMIF(■我的基礎獎金!$A$58:$A$77,$B10,■我的基礎獎金!$B$58:$B$77)</f>
        <v>2200</v>
      </c>
      <c r="E10" s="119">
        <f>SUMIF(■我的基礎獎金!$A$58:$A$77,$B10,■我的基礎獎金!$C$58:$C$77)</f>
        <v>600</v>
      </c>
      <c r="F10" s="119">
        <f>SUMIF(■我的基礎獎金!$A$58:$A$77,$B10,■我的基礎獎金!$D$58:$D$77)</f>
        <v>1700</v>
      </c>
      <c r="G10" s="119">
        <f>SUMIF(■我的基礎獎金!$A$58:$A$77,$B10,■我的基礎獎金!$E$58:$E$77)</f>
        <v>800</v>
      </c>
      <c r="H10" s="119">
        <f>SUMIF(■我的基礎獎金!$A$58:$A$77,$B10,■我的基礎獎金!$F$58:$F$77)</f>
        <v>1000</v>
      </c>
      <c r="I10" s="119">
        <f>SUMIF(■我的基礎獎金!$A$58:$A$77,$B10,■我的基礎獎金!$G$58:$G$77)</f>
        <v>2750</v>
      </c>
      <c r="J10" s="119">
        <f>SUMIF(■我的基礎獎金!$A$58:$A$77,$B10,■我的基礎獎金!$H$58:$H$77)</f>
        <v>0</v>
      </c>
      <c r="K10" s="120">
        <f t="shared" si="0"/>
        <v>9050</v>
      </c>
      <c r="L10" s="121">
        <f ca="1">SUMIF('2. 毛利分潤獎金'!$B$4:$B$32,$B10,'2. 毛利分潤獎金'!$H$4:$H$32)</f>
        <v>28240.482555555558</v>
      </c>
      <c r="M10" s="122">
        <f>SUMIF('🏆 追星獎'!$C$9:$C$27,$B10,'🏆 追星獎'!$G$9:$G$27)</f>
        <v>3000</v>
      </c>
      <c r="N10" s="123">
        <f ca="1">SUMIF('3. 全壘打得分表'!$B$6:$B$25,$B10,'3. 全壘打得分表'!$AC$6:$AC$25)</f>
        <v>12.239602002791043</v>
      </c>
      <c r="O10" s="124">
        <f ca="1">SUMIF('3. 全壘打得分表'!$B$6:$B$25,$B10,'3. 全壘打得分表'!$E$6:$E$25)</f>
        <v>5000</v>
      </c>
      <c r="P10" s="125">
        <f>SUMIF(■我的KPI獎金!$B:$B,$B10,■我的KPI獎金!$D:$D)</f>
        <v>-3500</v>
      </c>
      <c r="Q10" s="126">
        <f t="shared" ca="1" si="1"/>
        <v>45290.482555555558</v>
      </c>
      <c r="R10" s="127">
        <f ca="1">S10/130000+(SUMIF(數據!$A:$A,$B10,數據!$AI:$AI))</f>
        <v>5.7869973162393169</v>
      </c>
      <c r="S10" s="128">
        <f ca="1">SUMIF('1. 基礎獎金 + 獎金排名'!$C:$C,$B10,'1. 基礎獎金 + 獎金排名'!$O:$O)+SUMIF('2. 毛利分潤獎金'!$B:$B,$B10,'2. 毛利分潤獎金'!$D:$D)</f>
        <v>752309.65111111116</v>
      </c>
      <c r="T10" s="7"/>
      <c r="X10" s="7" t="s">
        <v>92</v>
      </c>
    </row>
    <row r="11" spans="1:24" ht="21.75" customHeight="1">
      <c r="A11" s="116" t="s">
        <v>19</v>
      </c>
      <c r="B11" s="117" t="s">
        <v>88</v>
      </c>
      <c r="C11" s="117" t="s">
        <v>89</v>
      </c>
      <c r="D11" s="118">
        <f>SUMIF(■我的基礎獎金!$A$58:$A$77,$B11,■我的基礎獎金!$B$58:$B$77)</f>
        <v>1200</v>
      </c>
      <c r="E11" s="119">
        <f>SUMIF(■我的基礎獎金!$A$58:$A$77,$B11,■我的基礎獎金!$C$58:$C$77)</f>
        <v>0</v>
      </c>
      <c r="F11" s="119">
        <f>SUMIF(■我的基礎獎金!$A$58:$A$77,$B11,■我的基礎獎金!$D$58:$D$77)</f>
        <v>1000</v>
      </c>
      <c r="G11" s="119">
        <f>SUMIF(■我的基礎獎金!$A$58:$A$77,$B11,■我的基礎獎金!$E$58:$E$77)</f>
        <v>600</v>
      </c>
      <c r="H11" s="119">
        <f>SUMIF(■我的基礎獎金!$A$58:$A$77,$B11,■我的基礎獎金!$F$58:$F$77)</f>
        <v>1000</v>
      </c>
      <c r="I11" s="119">
        <f>SUMIF(■我的基礎獎金!$A$58:$A$77,$B11,■我的基礎獎金!$G$58:$G$77)</f>
        <v>750</v>
      </c>
      <c r="J11" s="119">
        <f>SUMIF(■我的基礎獎金!$A$58:$A$77,$B11,■我的基礎獎金!$H$58:$H$77)</f>
        <v>0</v>
      </c>
      <c r="K11" s="120">
        <f t="shared" si="0"/>
        <v>4550</v>
      </c>
      <c r="L11" s="121">
        <f ca="1">SUMIF('2. 毛利分潤獎金'!$B$4:$B$32,$B11,'2. 毛利分潤獎金'!$H$4:$H$32)</f>
        <v>25720.014444444445</v>
      </c>
      <c r="M11" s="122">
        <f>SUMIF('🏆 追星獎'!$C$9:$C$27,$B11,'🏆 追星獎'!$G$9:$G$27)</f>
        <v>8000</v>
      </c>
      <c r="N11" s="123">
        <f ca="1">SUMIF('3. 全壘打得分表'!$B$6:$B$25,$B11,'3. 全壘打得分表'!$AC$6:$AC$25)</f>
        <v>10.455489531149231</v>
      </c>
      <c r="O11" s="124">
        <f ca="1">SUMIF('3. 全壘打得分表'!$B$6:$B$25,$B11,'3. 全壘打得分表'!$E$6:$E$25)</f>
        <v>4000</v>
      </c>
      <c r="P11" s="125">
        <f>SUMIF(■我的KPI獎金!$B:$B,$B11,■我的KPI獎金!$D:$D)</f>
        <v>-2500</v>
      </c>
      <c r="Q11" s="126">
        <f t="shared" ca="1" si="1"/>
        <v>42270.014444444445</v>
      </c>
      <c r="R11" s="127">
        <f ca="1">S11/130000+(SUMIF(數據!$A:$A,$B11,數據!$AI:$AI))</f>
        <v>4.8453868376068376</v>
      </c>
      <c r="S11" s="128">
        <f ca="1">SUMIF('1. 基礎獎金 + 獎金排名'!$C:$C,$B11,'1. 基礎獎金 + 獎金排名'!$O:$O)+SUMIF('2. 毛利分潤獎金'!$B:$B,$B11,'2. 毛利分潤獎金'!$D:$D)</f>
        <v>629900.2888888889</v>
      </c>
      <c r="T11" s="7"/>
    </row>
    <row r="12" spans="1:24" ht="21.75" customHeight="1">
      <c r="A12" s="129" t="s">
        <v>17</v>
      </c>
      <c r="B12" s="117" t="s">
        <v>108</v>
      </c>
      <c r="C12" s="117" t="s">
        <v>89</v>
      </c>
      <c r="D12" s="118">
        <f>SUMIF(■我的基礎獎金!$A$58:$A$77,$B12,■我的基礎獎金!$B$58:$B$77)</f>
        <v>2350</v>
      </c>
      <c r="E12" s="119">
        <f>SUMIF(■我的基礎獎金!$A$58:$A$77,$B12,■我的基礎獎金!$C$58:$C$77)</f>
        <v>600</v>
      </c>
      <c r="F12" s="119">
        <f>SUMIF(■我的基礎獎金!$A$58:$A$77,$B12,■我的基礎獎金!$D$58:$D$77)</f>
        <v>1100</v>
      </c>
      <c r="G12" s="119">
        <f>SUMIF(■我的基礎獎金!$A$58:$A$77,$B12,■我的基礎獎金!$E$58:$E$77)</f>
        <v>1100</v>
      </c>
      <c r="H12" s="119">
        <f>SUMIF(■我的基礎獎金!$A$58:$A$77,$B12,■我的基礎獎金!$F$58:$F$77)</f>
        <v>700</v>
      </c>
      <c r="I12" s="119">
        <f>SUMIF(■我的基礎獎金!$A$58:$A$77,$B12,■我的基礎獎金!$G$58:$G$77)</f>
        <v>0</v>
      </c>
      <c r="J12" s="119">
        <f>SUMIF(■我的基礎獎金!$A$58:$A$77,$B12,■我的基礎獎金!$H$58:$H$77)</f>
        <v>0</v>
      </c>
      <c r="K12" s="120">
        <f t="shared" si="0"/>
        <v>5850</v>
      </c>
      <c r="L12" s="121">
        <f ca="1">SUMIF('2. 毛利分潤獎金'!$B$4:$B$32,$B12,'2. 毛利分潤獎金'!$H$4:$H$32)</f>
        <v>10374.465</v>
      </c>
      <c r="M12" s="122">
        <f>SUMIF('🏆 追星獎'!$C$9:$C$27,$B12,'🏆 追星獎'!$G$9:$G$27)</f>
        <v>0</v>
      </c>
      <c r="N12" s="123">
        <f ca="1">SUMIF('3. 全壘打得分表'!$B$6:$B$25,$B12,'3. 全壘打得分表'!$AC$6:$AC$25)</f>
        <v>13.559183064997018</v>
      </c>
      <c r="O12" s="124">
        <f ca="1">SUMIF('3. 全壘打得分表'!$B$6:$B$25,$B12,'3. 全壘打得分表'!$E$6:$E$25)</f>
        <v>5000</v>
      </c>
      <c r="P12" s="125">
        <f>SUMIF(■我的KPI獎金!$B:$B,$B12,■我的KPI獎金!$D:$D)</f>
        <v>-2500</v>
      </c>
      <c r="Q12" s="126">
        <f t="shared" ca="1" si="1"/>
        <v>21224.465</v>
      </c>
      <c r="R12" s="127">
        <f ca="1">S12/130000+(SUMIF(數據!$A:$A,$B12,數據!$AI:$AI))</f>
        <v>2.7172253846153844</v>
      </c>
      <c r="S12" s="128">
        <f ca="1">SUMIF('1. 基礎獎金 + 獎金排名'!$C:$C,$B12,'1. 基礎獎金 + 獎金排名'!$O:$O)+SUMIF('2. 毛利分潤獎金'!$B:$B,$B12,'2. 毛利分潤獎金'!$D:$D)</f>
        <v>353239.3</v>
      </c>
      <c r="T12" s="7"/>
    </row>
    <row r="13" spans="1:24" ht="21.75" customHeight="1">
      <c r="A13" s="129" t="s">
        <v>17</v>
      </c>
      <c r="B13" s="117" t="s">
        <v>96</v>
      </c>
      <c r="C13" s="117" t="s">
        <v>91</v>
      </c>
      <c r="D13" s="118">
        <f>SUMIF(■我的基礎獎金!$A$58:$A$77,$B13,■我的基礎獎金!$B$58:$B$77)</f>
        <v>2550</v>
      </c>
      <c r="E13" s="119">
        <f>SUMIF(■我的基礎獎金!$A$58:$A$77,$B13,■我的基礎獎金!$C$58:$C$77)</f>
        <v>900</v>
      </c>
      <c r="F13" s="119">
        <f>SUMIF(■我的基礎獎金!$A$58:$A$77,$B13,■我的基礎獎金!$D$58:$D$77)</f>
        <v>500</v>
      </c>
      <c r="G13" s="119">
        <f>SUMIF(■我的基礎獎金!$A$58:$A$77,$B13,■我的基礎獎金!$E$58:$E$77)</f>
        <v>700</v>
      </c>
      <c r="H13" s="119">
        <f>SUMIF(■我的基礎獎金!$A$58:$A$77,$B13,■我的基礎獎金!$F$58:$F$77)</f>
        <v>1000</v>
      </c>
      <c r="I13" s="119">
        <f>SUMIF(■我的基礎獎金!$A$58:$A$77,$B13,■我的基礎獎金!$G$58:$G$77)</f>
        <v>0</v>
      </c>
      <c r="J13" s="119">
        <f>SUMIF(■我的基礎獎金!$A$58:$A$77,$B13,■我的基礎獎金!$H$58:$H$77)</f>
        <v>0</v>
      </c>
      <c r="K13" s="120">
        <f t="shared" si="0"/>
        <v>5650</v>
      </c>
      <c r="L13" s="121">
        <f ca="1">SUMIF('2. 毛利分潤獎金'!$B$4:$B$32,$B13,'2. 毛利分潤獎金'!$H$4:$H$32)</f>
        <v>15501.340666666667</v>
      </c>
      <c r="M13" s="122">
        <f>SUMIF('🏆 追星獎'!$C$9:$C$27,$B13,'🏆 追星獎'!$G$9:$G$27)</f>
        <v>3000</v>
      </c>
      <c r="N13" s="123">
        <f ca="1">SUMIF('3. 全壘打得分表'!$B$6:$B$25,$B13,'3. 全壘打得分表'!$AC$6:$AC$25)</f>
        <v>9.5491030918024276</v>
      </c>
      <c r="O13" s="124">
        <f ca="1">SUMIF('3. 全壘打得分表'!$B$6:$B$25,$B13,'3. 全壘打得分表'!$E$6:$E$25)</f>
        <v>3000</v>
      </c>
      <c r="P13" s="125">
        <f>SUMIF(■我的KPI獎金!$B:$B,$B13,■我的KPI獎金!$D:$D)</f>
        <v>-2500</v>
      </c>
      <c r="Q13" s="126">
        <f t="shared" ca="1" si="1"/>
        <v>27151.340666666667</v>
      </c>
      <c r="R13" s="127">
        <f ca="1">S13/130000+(SUMIF(數據!$A:$A,$B13,數據!$AI:$AI))</f>
        <v>3.3828985641025642</v>
      </c>
      <c r="S13" s="128">
        <f ca="1">SUMIF('1. 基礎獎金 + 獎金排名'!$C:$C,$B13,'1. 基礎獎金 + 獎金排名'!$O:$O)+SUMIF('2. 毛利分潤獎金'!$B:$B,$B13,'2. 毛利分潤獎金'!$D:$D)</f>
        <v>439776.81333333335</v>
      </c>
      <c r="T13" s="7"/>
    </row>
    <row r="14" spans="1:24" ht="21.75" customHeight="1">
      <c r="A14" s="129" t="s">
        <v>21</v>
      </c>
      <c r="B14" s="117" t="s">
        <v>109</v>
      </c>
      <c r="C14" s="117" t="s">
        <v>89</v>
      </c>
      <c r="D14" s="118">
        <f>SUMIF(■我的基礎獎金!$A$58:$A$77,$B14,■我的基礎獎金!$B$58:$B$77)</f>
        <v>2550</v>
      </c>
      <c r="E14" s="119">
        <f>SUMIF(■我的基礎獎金!$A$58:$A$77,$B14,■我的基礎獎金!$C$58:$C$77)</f>
        <v>600</v>
      </c>
      <c r="F14" s="119">
        <f>SUMIF(■我的基礎獎金!$A$58:$A$77,$B14,■我的基礎獎金!$D$58:$D$77)</f>
        <v>1100</v>
      </c>
      <c r="G14" s="119">
        <f>SUMIF(■我的基礎獎金!$A$58:$A$77,$B14,■我的基礎獎金!$E$58:$E$77)</f>
        <v>700</v>
      </c>
      <c r="H14" s="119">
        <f>SUMIF(■我的基礎獎金!$A$58:$A$77,$B14,■我的基礎獎金!$F$58:$F$77)</f>
        <v>900</v>
      </c>
      <c r="I14" s="119">
        <f>SUMIF(■我的基礎獎金!$A$58:$A$77,$B14,■我的基礎獎金!$G$58:$G$77)</f>
        <v>1000</v>
      </c>
      <c r="J14" s="119">
        <f>SUMIF(■我的基礎獎金!$A$58:$A$77,$B14,■我的基礎獎金!$H$58:$H$77)</f>
        <v>0</v>
      </c>
      <c r="K14" s="120">
        <f t="shared" si="0"/>
        <v>6850</v>
      </c>
      <c r="L14" s="121">
        <f ca="1">SUMIF('2. 毛利分潤獎金'!$B$4:$B$32,$B14,'2. 毛利分潤獎金'!$H$4:$H$32)</f>
        <v>10024.66</v>
      </c>
      <c r="M14" s="122">
        <f>SUMIF('🏆 追星獎'!$C$9:$C$27,$B14,'🏆 追星獎'!$G$9:$G$27)</f>
        <v>3000</v>
      </c>
      <c r="N14" s="123">
        <f ca="1">SUMIF('3. 全壘打得分表'!$B$6:$B$25,$B14,'3. 全壘打得分表'!$AC$6:$AC$25)</f>
        <v>10.831383733759981</v>
      </c>
      <c r="O14" s="124">
        <f ca="1">SUMIF('3. 全壘打得分表'!$B$6:$B$25,$B14,'3. 全壘打得分表'!$E$6:$E$25)</f>
        <v>4000</v>
      </c>
      <c r="P14" s="125">
        <f>SUMIF(■我的KPI獎金!$B:$B,$B14,■我的KPI獎金!$D:$D)</f>
        <v>-4000</v>
      </c>
      <c r="Q14" s="126">
        <f t="shared" ca="1" si="1"/>
        <v>23874.66</v>
      </c>
      <c r="R14" s="127">
        <f ca="1">S14/130000+(SUMIF(數據!$A:$A,$B14,數據!$AI:$AI))</f>
        <v>2.73264</v>
      </c>
      <c r="S14" s="128">
        <f ca="1">SUMIF('1. 基礎獎金 + 獎金排名'!$C:$C,$B14,'1. 基礎獎金 + 獎金排名'!$O:$O)+SUMIF('2. 毛利分潤獎金'!$B:$B,$B14,'2. 毛利分潤獎金'!$D:$D)</f>
        <v>355243.2</v>
      </c>
      <c r="T14" s="7"/>
    </row>
    <row r="15" spans="1:24" ht="21.75" customHeight="1">
      <c r="A15" s="129" t="s">
        <v>19</v>
      </c>
      <c r="B15" s="117" t="s">
        <v>99</v>
      </c>
      <c r="C15" s="117" t="s">
        <v>100</v>
      </c>
      <c r="D15" s="118">
        <f>SUMIF(■我的基礎獎金!$A$58:$A$77,$B15,■我的基礎獎金!$B$58:$B$77)</f>
        <v>1550</v>
      </c>
      <c r="E15" s="119">
        <f>SUMIF(■我的基礎獎金!$A$58:$A$77,$B15,■我的基礎獎金!$C$58:$C$77)</f>
        <v>300</v>
      </c>
      <c r="F15" s="119">
        <f>SUMIF(■我的基礎獎金!$A$58:$A$77,$B15,■我的基礎獎金!$D$58:$D$77)</f>
        <v>1300</v>
      </c>
      <c r="G15" s="119">
        <f>SUMIF(■我的基礎獎金!$A$58:$A$77,$B15,■我的基礎獎金!$E$58:$E$77)</f>
        <v>800</v>
      </c>
      <c r="H15" s="119">
        <f>SUMIF(■我的基礎獎金!$A$58:$A$77,$B15,■我的基礎獎金!$F$58:$F$77)</f>
        <v>1000</v>
      </c>
      <c r="I15" s="119">
        <f>SUMIF(■我的基礎獎金!$A$58:$A$77,$B15,■我的基礎獎金!$G$58:$G$77)</f>
        <v>1375</v>
      </c>
      <c r="J15" s="119">
        <f>SUMIF(■我的基礎獎金!$A$58:$A$77,$B15,■我的基礎獎金!$H$58:$H$77)</f>
        <v>0</v>
      </c>
      <c r="K15" s="120">
        <f t="shared" si="0"/>
        <v>6325</v>
      </c>
      <c r="L15" s="121">
        <f ca="1">SUMIF('2. 毛利分潤獎金'!$B$4:$B$32,$B15,'2. 毛利分潤獎金'!$H$4:$H$32)</f>
        <v>8606.3805555555555</v>
      </c>
      <c r="M15" s="122">
        <f>SUMIF('🏆 追星獎'!$C$9:$C$27,$B15,'🏆 追星獎'!$G$9:$G$27)</f>
        <v>0</v>
      </c>
      <c r="N15" s="123">
        <f ca="1">SUMIF('3. 全壘打得分表'!$B$6:$B$25,$B15,'3. 全壘打得分表'!$AC$6:$AC$25)</f>
        <v>13.148375091637503</v>
      </c>
      <c r="O15" s="124">
        <f ca="1">SUMIF('3. 全壘打得分表'!$B$6:$B$25,$B15,'3. 全壘打得分表'!$E$6:$E$25)</f>
        <v>5000</v>
      </c>
      <c r="P15" s="125">
        <f>SUMIF(■我的KPI獎金!$B:$B,$B15,■我的KPI獎金!$D:$D)</f>
        <v>-4000</v>
      </c>
      <c r="Q15" s="126">
        <f t="shared" ca="1" si="1"/>
        <v>19931.380555555555</v>
      </c>
      <c r="R15" s="127">
        <f ca="1">S15/130000+(SUMIF(數據!$A:$A,$B15,數據!$AI:$AI))</f>
        <v>2.4432893162393166</v>
      </c>
      <c r="S15" s="128">
        <f ca="1">SUMIF('1. 基礎獎金 + 獎金排名'!$C:$C,$B15,'1. 基礎獎金 + 獎金排名'!$O:$O)+SUMIF('2. 毛利分潤獎金'!$B:$B,$B15,'2. 毛利分潤獎金'!$D:$D)</f>
        <v>317627.61111111112</v>
      </c>
      <c r="T15" s="7"/>
    </row>
    <row r="16" spans="1:24" ht="21.75" customHeight="1">
      <c r="A16" s="129" t="s">
        <v>20</v>
      </c>
      <c r="B16" s="117" t="s">
        <v>102</v>
      </c>
      <c r="C16" s="117" t="s">
        <v>89</v>
      </c>
      <c r="D16" s="118">
        <f>SUMIF(■我的基礎獎金!$A$58:$A$77,$B16,■我的基礎獎金!$B$58:$B$77)</f>
        <v>1450</v>
      </c>
      <c r="E16" s="119">
        <f>SUMIF(■我的基礎獎金!$A$58:$A$77,$B16,■我的基礎獎金!$C$58:$C$77)</f>
        <v>300</v>
      </c>
      <c r="F16" s="119">
        <f>SUMIF(■我的基礎獎金!$A$58:$A$77,$B16,■我的基礎獎金!$D$58:$D$77)</f>
        <v>700</v>
      </c>
      <c r="G16" s="119">
        <f>SUMIF(■我的基礎獎金!$A$58:$A$77,$B16,■我的基礎獎金!$E$58:$E$77)</f>
        <v>700</v>
      </c>
      <c r="H16" s="119">
        <f>SUMIF(■我的基礎獎金!$A$58:$A$77,$B16,■我的基礎獎金!$F$58:$F$77)</f>
        <v>500</v>
      </c>
      <c r="I16" s="119">
        <f>SUMIF(■我的基礎獎金!$A$58:$A$77,$B16,■我的基礎獎金!$G$58:$G$77)</f>
        <v>0</v>
      </c>
      <c r="J16" s="119">
        <f>SUMIF(■我的基礎獎金!$A$58:$A$77,$B16,■我的基礎獎金!$H$58:$H$77)</f>
        <v>0</v>
      </c>
      <c r="K16" s="120">
        <f t="shared" si="0"/>
        <v>3650</v>
      </c>
      <c r="L16" s="121">
        <f ca="1">SUMIF('2. 毛利分潤獎金'!$B$4:$B$32,$B16,'2. 毛利分潤獎金'!$H$4:$H$32)</f>
        <v>8287.5997777777775</v>
      </c>
      <c r="M16" s="122">
        <f>SUMIF('🏆 追星獎'!$C$9:$C$27,$B16,'🏆 追星獎'!$G$9:$G$27)</f>
        <v>0</v>
      </c>
      <c r="N16" s="123">
        <f ca="1">SUMIF('3. 全壘打得分表'!$B$6:$B$25,$B16,'3. 全壘打得分表'!$AC$6:$AC$25)</f>
        <v>7.6515409187908316</v>
      </c>
      <c r="O16" s="124">
        <f ca="1">SUMIF('3. 全壘打得分表'!$B$6:$B$25,$B16,'3. 全壘打得分表'!$E$6:$E$25)</f>
        <v>0</v>
      </c>
      <c r="P16" s="125">
        <f>SUMIF(■我的KPI獎金!$B:$B,$B16,■我的KPI獎金!$D:$D)</f>
        <v>-4000</v>
      </c>
      <c r="Q16" s="126">
        <f t="shared" ca="1" si="1"/>
        <v>11937.599777777777</v>
      </c>
      <c r="R16" s="127">
        <f ca="1">S16/130000+(SUMIF(數據!$A:$A,$B16,數據!$AI:$AI))</f>
        <v>1.9923230427350429</v>
      </c>
      <c r="S16" s="128">
        <f ca="1">SUMIF('1. 基礎獎金 + 獎金排名'!$C:$C,$B16,'1. 基礎獎金 + 獎金排名'!$O:$O)+SUMIF('2. 毛利分潤獎金'!$B:$B,$B16,'2. 毛利分潤獎金'!$D:$D)</f>
        <v>259001.99555555556</v>
      </c>
      <c r="T16" s="7"/>
    </row>
    <row r="17" spans="1:20" ht="21.75" customHeight="1">
      <c r="A17" s="129" t="s">
        <v>17</v>
      </c>
      <c r="B17" s="117" t="s">
        <v>106</v>
      </c>
      <c r="C17" s="117" t="s">
        <v>104</v>
      </c>
      <c r="D17" s="118">
        <f>SUMIF(■我的基礎獎金!$A$58:$A$77,$B17,■我的基礎獎金!$B$58:$B$77)</f>
        <v>3450</v>
      </c>
      <c r="E17" s="119">
        <f>SUMIF(■我的基礎獎金!$A$58:$A$77,$B17,■我的基礎獎金!$C$58:$C$77)</f>
        <v>900</v>
      </c>
      <c r="F17" s="119">
        <f>SUMIF(■我的基礎獎金!$A$58:$A$77,$B17,■我的基礎獎金!$D$58:$D$77)</f>
        <v>500</v>
      </c>
      <c r="G17" s="119">
        <f>SUMIF(■我的基礎獎金!$A$58:$A$77,$B17,■我的基礎獎金!$E$58:$E$77)</f>
        <v>300</v>
      </c>
      <c r="H17" s="119">
        <f>SUMIF(■我的基礎獎金!$A$58:$A$77,$B17,■我的基礎獎金!$F$58:$F$77)</f>
        <v>900</v>
      </c>
      <c r="I17" s="119">
        <f>SUMIF(■我的基礎獎金!$A$58:$A$77,$B17,■我的基礎獎金!$G$58:$G$77)</f>
        <v>0</v>
      </c>
      <c r="J17" s="119">
        <f>SUMIF(■我的基礎獎金!$A$58:$A$77,$B17,■我的基礎獎金!$H$58:$H$77)</f>
        <v>500</v>
      </c>
      <c r="K17" s="120">
        <f t="shared" si="0"/>
        <v>6550</v>
      </c>
      <c r="L17" s="121">
        <f ca="1">SUMIF('2. 毛利分潤獎金'!$B$4:$B$32,$B17,'2. 毛利分潤獎金'!$H$4:$H$32)</f>
        <v>5000</v>
      </c>
      <c r="M17" s="122">
        <f>SUMIF('🏆 追星獎'!$C$9:$C$27,$B17,'🏆 追星獎'!$G$9:$G$27)</f>
        <v>0</v>
      </c>
      <c r="N17" s="123">
        <f ca="1">SUMIF('3. 全壘打得分表'!$B$6:$B$25,$B17,'3. 全壘打得分表'!$AC$6:$AC$25)</f>
        <v>9.3751480931220783</v>
      </c>
      <c r="O17" s="124">
        <f ca="1">SUMIF('3. 全壘打得分表'!$B$6:$B$25,$B17,'3. 全壘打得分表'!$E$6:$E$25)</f>
        <v>3000</v>
      </c>
      <c r="P17" s="125">
        <f>SUMIF(■我的KPI獎金!$B:$B,$B17,■我的KPI獎金!$D:$D)</f>
        <v>-3500</v>
      </c>
      <c r="Q17" s="126">
        <f t="shared" ca="1" si="1"/>
        <v>14550</v>
      </c>
      <c r="R17" s="127">
        <f ca="1">S17/130000+(SUMIF(數據!$A:$A,$B17,數據!$AI:$AI))</f>
        <v>1.8634615384615385</v>
      </c>
      <c r="S17" s="128">
        <f ca="1">SUMIF('1. 基礎獎金 + 獎金排名'!$C:$C,$B17,'1. 基礎獎金 + 獎金排名'!$O:$O)+SUMIF('2. 毛利分潤獎金'!$B:$B,$B17,'2. 毛利分潤獎金'!$D:$D)</f>
        <v>242250</v>
      </c>
      <c r="T17" s="7"/>
    </row>
    <row r="18" spans="1:20" ht="21.75" customHeight="1">
      <c r="A18" s="129" t="s">
        <v>21</v>
      </c>
      <c r="B18" s="117" t="s">
        <v>103</v>
      </c>
      <c r="C18" s="117" t="s">
        <v>104</v>
      </c>
      <c r="D18" s="118">
        <f>SUMIF(■我的基礎獎金!$A$58:$A$77,$B18,■我的基礎獎金!$B$58:$B$77)</f>
        <v>1200</v>
      </c>
      <c r="E18" s="119">
        <f>SUMIF(■我的基礎獎金!$A$58:$A$77,$B18,■我的基礎獎金!$C$58:$C$77)</f>
        <v>300</v>
      </c>
      <c r="F18" s="119">
        <f>SUMIF(■我的基礎獎金!$A$58:$A$77,$B18,■我的基礎獎金!$D$58:$D$77)</f>
        <v>1000</v>
      </c>
      <c r="G18" s="119">
        <f>SUMIF(■我的基礎獎金!$A$58:$A$77,$B18,■我的基礎獎金!$E$58:$E$77)</f>
        <v>200</v>
      </c>
      <c r="H18" s="119">
        <f>SUMIF(■我的基礎獎金!$A$58:$A$77,$B18,■我的基礎獎金!$F$58:$F$77)</f>
        <v>500</v>
      </c>
      <c r="I18" s="119">
        <f>SUMIF(■我的基礎獎金!$A$58:$A$77,$B18,■我的基礎獎金!$G$58:$G$77)</f>
        <v>1250</v>
      </c>
      <c r="J18" s="119">
        <f>SUMIF(■我的基礎獎金!$A$58:$A$77,$B18,■我的基礎獎金!$H$58:$H$77)</f>
        <v>0</v>
      </c>
      <c r="K18" s="120">
        <f t="shared" si="0"/>
        <v>4450</v>
      </c>
      <c r="L18" s="121">
        <f ca="1">SUMIF('2. 毛利分潤獎金'!$B$4:$B$32,$B18,'2. 毛利分潤獎金'!$H$4:$H$32)</f>
        <v>6621.9688888888886</v>
      </c>
      <c r="M18" s="122">
        <f>SUMIF('🏆 追星獎'!$C$9:$C$27,$B18,'🏆 追星獎'!$G$9:$G$27)</f>
        <v>0</v>
      </c>
      <c r="N18" s="123">
        <f ca="1">SUMIF('3. 全壘打得分表'!$B$6:$B$25,$B18,'3. 全壘打得分表'!$AC$6:$AC$25)</f>
        <v>8.0263888559887206</v>
      </c>
      <c r="O18" s="124">
        <f ca="1">SUMIF('3. 全壘打得分表'!$B$6:$B$25,$B18,'3. 全壘打得分表'!$E$6:$E$25)</f>
        <v>3000</v>
      </c>
      <c r="P18" s="125">
        <f>SUMIF(■我的KPI獎金!$B:$B,$B18,■我的KPI獎金!$D:$D)</f>
        <v>-4000</v>
      </c>
      <c r="Q18" s="126">
        <f t="shared" ca="1" si="1"/>
        <v>14071.968888888889</v>
      </c>
      <c r="R18" s="127">
        <f ca="1">S18/130000+(SUMIF(數據!$A:$A,$B18,數據!$AI:$AI))</f>
        <v>1.7379952136752137</v>
      </c>
      <c r="S18" s="128">
        <f ca="1">SUMIF('1. 基礎獎金 + 獎金排名'!$C:$C,$B18,'1. 基礎獎金 + 獎金排名'!$O:$O)+SUMIF('2. 毛利分潤獎金'!$B:$B,$B18,'2. 毛利分潤獎金'!$D:$D)</f>
        <v>225939.37777777779</v>
      </c>
      <c r="T18" s="7"/>
    </row>
    <row r="19" spans="1:20" ht="21.75" customHeight="1">
      <c r="A19" s="129" t="s">
        <v>20</v>
      </c>
      <c r="B19" s="117" t="s">
        <v>111</v>
      </c>
      <c r="C19" s="117" t="s">
        <v>104</v>
      </c>
      <c r="D19" s="118">
        <f>SUMIF(■我的基礎獎金!$A$58:$A$77,$B19,■我的基礎獎金!$B$58:$B$77)</f>
        <v>1200</v>
      </c>
      <c r="E19" s="119">
        <f>SUMIF(■我的基礎獎金!$A$58:$A$77,$B19,■我的基礎獎金!$C$58:$C$77)</f>
        <v>300</v>
      </c>
      <c r="F19" s="119">
        <f>SUMIF(■我的基礎獎金!$A$58:$A$77,$B19,■我的基礎獎金!$D$58:$D$77)</f>
        <v>800</v>
      </c>
      <c r="G19" s="119">
        <f>SUMIF(■我的基礎獎金!$A$58:$A$77,$B19,■我的基礎獎金!$E$58:$E$77)</f>
        <v>700</v>
      </c>
      <c r="H19" s="119">
        <f>SUMIF(■我的基礎獎金!$A$58:$A$77,$B19,■我的基礎獎金!$F$58:$F$77)</f>
        <v>700</v>
      </c>
      <c r="I19" s="119">
        <f>SUMIF(■我的基礎獎金!$A$58:$A$77,$B19,■我的基礎獎金!$G$58:$G$77)</f>
        <v>0</v>
      </c>
      <c r="J19" s="119">
        <f>SUMIF(■我的基礎獎金!$A$58:$A$77,$B19,■我的基礎獎金!$H$58:$H$77)</f>
        <v>0</v>
      </c>
      <c r="K19" s="120">
        <f t="shared" si="0"/>
        <v>3700</v>
      </c>
      <c r="L19" s="121">
        <f ca="1">SUMIF('2. 毛利分潤獎金'!$B$4:$B$32,$B19,'2. 毛利分潤獎金'!$H$4:$H$32)</f>
        <v>5000</v>
      </c>
      <c r="M19" s="122">
        <f>SUMIF('🏆 追星獎'!$C$9:$C$27,$B19,'🏆 追星獎'!$G$9:$G$27)</f>
        <v>3000</v>
      </c>
      <c r="N19" s="123">
        <f ca="1">SUMIF('3. 全壘打得分表'!$B$6:$B$25,$B19,'3. 全壘打得分表'!$AC$6:$AC$25)</f>
        <v>11.580015209102276</v>
      </c>
      <c r="O19" s="124">
        <f ca="1">SUMIF('3. 全壘打得分表'!$B$6:$B$25,$B19,'3. 全壘打得分表'!$E$6:$E$25)</f>
        <v>4000</v>
      </c>
      <c r="P19" s="125">
        <f>SUMIF(■我的KPI獎金!$B:$B,$B19,■我的KPI獎金!$D:$D)</f>
        <v>-4500</v>
      </c>
      <c r="Q19" s="126">
        <f t="shared" ca="1" si="1"/>
        <v>15700</v>
      </c>
      <c r="R19" s="127">
        <f ca="1">S19/130000+(SUMIF(數據!$A:$A,$B19,數據!$AI:$AI))</f>
        <v>1.5076923076923077</v>
      </c>
      <c r="S19" s="128">
        <f ca="1">SUMIF('1. 基礎獎金 + 獎金排名'!$C:$C,$B19,'1. 基礎獎金 + 獎金排名'!$O:$O)+SUMIF('2. 毛利分潤獎金'!$B:$B,$B19,'2. 毛利分潤獎金'!$D:$D)</f>
        <v>196000</v>
      </c>
      <c r="T19" s="7"/>
    </row>
    <row r="20" spans="1:20" ht="21.75" customHeight="1">
      <c r="A20" s="129" t="s">
        <v>18</v>
      </c>
      <c r="B20" s="117" t="s">
        <v>110</v>
      </c>
      <c r="C20" s="117" t="s">
        <v>104</v>
      </c>
      <c r="D20" s="118">
        <f>SUMIF(■我的基礎獎金!$A$58:$A$77,$B20,■我的基礎獎金!$B$58:$B$77)</f>
        <v>1200</v>
      </c>
      <c r="E20" s="119">
        <f>SUMIF(■我的基礎獎金!$A$58:$A$77,$B20,■我的基礎獎金!$C$58:$C$77)</f>
        <v>300</v>
      </c>
      <c r="F20" s="119">
        <f>SUMIF(■我的基礎獎金!$A$58:$A$77,$B20,■我的基礎獎金!$D$58:$D$77)</f>
        <v>800</v>
      </c>
      <c r="G20" s="119">
        <f>SUMIF(■我的基礎獎金!$A$58:$A$77,$B20,■我的基礎獎金!$E$58:$E$77)</f>
        <v>300</v>
      </c>
      <c r="H20" s="119">
        <f>SUMIF(■我的基礎獎金!$A$58:$A$77,$B20,■我的基礎獎金!$F$58:$F$77)</f>
        <v>500</v>
      </c>
      <c r="I20" s="119">
        <f>SUMIF(■我的基礎獎金!$A$58:$A$77,$B20,■我的基礎獎金!$G$58:$G$77)</f>
        <v>750</v>
      </c>
      <c r="J20" s="119">
        <f>SUMIF(■我的基礎獎金!$A$58:$A$77,$B20,■我的基礎獎金!$H$58:$H$77)</f>
        <v>0</v>
      </c>
      <c r="K20" s="120">
        <f t="shared" si="0"/>
        <v>3850</v>
      </c>
      <c r="L20" s="121">
        <f ca="1">SUMIF('2. 毛利分潤獎金'!$B$4:$B$32,$B20,'2. 毛利分潤獎金'!$H$4:$H$32)</f>
        <v>6902.6444444444442</v>
      </c>
      <c r="M20" s="122">
        <f>SUMIF('🏆 追星獎'!$C$9:$C$27,$B20,'🏆 追星獎'!$G$9:$G$27)</f>
        <v>0</v>
      </c>
      <c r="N20" s="123">
        <f ca="1">SUMIF('3. 全壘打得分表'!$B$6:$B$25,$B20,'3. 全壘打得分表'!$AC$6:$AC$25)</f>
        <v>8.5526515312944404</v>
      </c>
      <c r="O20" s="124">
        <f ca="1">SUMIF('3. 全壘打得分表'!$B$6:$B$25,$B20,'3. 全壘打得分表'!$E$6:$E$25)</f>
        <v>3000</v>
      </c>
      <c r="P20" s="125">
        <f>SUMIF(■我的KPI獎金!$B:$B,$B20,■我的KPI獎金!$D:$D)</f>
        <v>-4000</v>
      </c>
      <c r="Q20" s="126">
        <f t="shared" ca="1" si="1"/>
        <v>13752.644444444444</v>
      </c>
      <c r="R20" s="127">
        <f ca="1">S20/130000+(SUMIF(數據!$A:$A,$B20,數據!$AI:$AI))</f>
        <v>1.7196376068376067</v>
      </c>
      <c r="S20" s="128">
        <f ca="1">SUMIF('1. 基礎獎金 + 獎金排名'!$C:$C,$B20,'1. 基礎獎金 + 獎金排名'!$O:$O)+SUMIF('2. 毛利分潤獎金'!$B:$B,$B20,'2. 毛利分潤獎金'!$D:$D)</f>
        <v>223552.88888888888</v>
      </c>
      <c r="T20" s="7"/>
    </row>
    <row r="21" spans="1:20" ht="21.75" customHeight="1">
      <c r="A21" s="129" t="s">
        <v>21</v>
      </c>
      <c r="B21" s="117" t="s">
        <v>112</v>
      </c>
      <c r="C21" s="117" t="s">
        <v>113</v>
      </c>
      <c r="D21" s="118">
        <f>SUMIF(■我的基礎獎金!$A$58:$A$77,$B21,■我的基礎獎金!$B$58:$B$77)</f>
        <v>800</v>
      </c>
      <c r="E21" s="119">
        <f>SUMIF(■我的基礎獎金!$A$58:$A$77,$B21,■我的基礎獎金!$C$58:$C$77)</f>
        <v>0</v>
      </c>
      <c r="F21" s="119">
        <f>SUMIF(■我的基礎獎金!$A$58:$A$77,$B21,■我的基礎獎金!$D$58:$D$77)</f>
        <v>1100</v>
      </c>
      <c r="G21" s="119">
        <f>SUMIF(■我的基礎獎金!$A$58:$A$77,$B21,■我的基礎獎金!$E$58:$E$77)</f>
        <v>500</v>
      </c>
      <c r="H21" s="119">
        <f>SUMIF(■我的基礎獎金!$A$58:$A$77,$B21,■我的基礎獎金!$F$58:$F$77)</f>
        <v>300</v>
      </c>
      <c r="I21" s="119">
        <f>SUMIF(■我的基礎獎金!$A$58:$A$77,$B21,■我的基礎獎金!$G$58:$G$77)</f>
        <v>0</v>
      </c>
      <c r="J21" s="119">
        <f>SUMIF(■我的基礎獎金!$A$58:$A$77,$B21,■我的基礎獎金!$H$58:$H$77)</f>
        <v>0</v>
      </c>
      <c r="K21" s="120">
        <f t="shared" si="0"/>
        <v>2700</v>
      </c>
      <c r="L21" s="121">
        <f ca="1">SUMIF('2. 毛利分潤獎金'!$B$4:$B$32,$B21,'2. 毛利分潤獎金'!$H$4:$H$32)</f>
        <v>0</v>
      </c>
      <c r="M21" s="122">
        <f>SUMIF('🏆 追星獎'!$C$9:$C$27,$B21,'🏆 追星獎'!$G$9:$G$27)</f>
        <v>0</v>
      </c>
      <c r="N21" s="123">
        <f ca="1">SUMIF('3. 全壘打得分表'!$B$6:$B$25,$B21,'3. 全壘打得分表'!$AC$6:$AC$25)</f>
        <v>13.146008848104659</v>
      </c>
      <c r="O21" s="124">
        <f ca="1">SUMIF('3. 全壘打得分表'!$B$6:$B$25,$B21,'3. 全壘打得分表'!$E$6:$E$25)</f>
        <v>5000</v>
      </c>
      <c r="P21" s="125">
        <f>SUMIF(■我的KPI獎金!$B:$B,$B21,■我的KPI獎金!$D:$D)</f>
        <v>-2500</v>
      </c>
      <c r="Q21" s="126">
        <f t="shared" ca="1" si="1"/>
        <v>7700</v>
      </c>
      <c r="R21" s="127">
        <f ca="1">S21/130000+(SUMIF(數據!$A:$A,$B21,數據!$AI:$AI))</f>
        <v>0.59230769230769231</v>
      </c>
      <c r="S21" s="128">
        <f ca="1">SUMIF('1. 基礎獎金 + 獎金排名'!$C:$C,$B21,'1. 基礎獎金 + 獎金排名'!$O:$O)+SUMIF('2. 毛利分潤獎金'!$B:$B,$B21,'2. 毛利分潤獎金'!$D:$D)</f>
        <v>77000</v>
      </c>
      <c r="T21" s="7"/>
    </row>
    <row r="22" spans="1:20" ht="21.75" customHeight="1">
      <c r="A22" s="129" t="s">
        <v>17</v>
      </c>
      <c r="B22" s="117" t="s">
        <v>101</v>
      </c>
      <c r="C22" s="117" t="s">
        <v>100</v>
      </c>
      <c r="D22" s="118">
        <f>SUMIF(■我的基礎獎金!$A$58:$A$77,$B22,■我的基礎獎金!$B$58:$B$77)</f>
        <v>1500</v>
      </c>
      <c r="E22" s="119">
        <f>SUMIF(■我的基礎獎金!$A$58:$A$77,$B22,■我的基礎獎金!$C$58:$C$77)</f>
        <v>600</v>
      </c>
      <c r="F22" s="119">
        <f>SUMIF(■我的基礎獎金!$A$58:$A$77,$B22,■我的基礎獎金!$D$58:$D$77)</f>
        <v>900</v>
      </c>
      <c r="G22" s="119">
        <f>SUMIF(■我的基礎獎金!$A$58:$A$77,$B22,■我的基礎獎金!$E$58:$E$77)</f>
        <v>400</v>
      </c>
      <c r="H22" s="119">
        <f>SUMIF(■我的基礎獎金!$A$58:$A$77,$B22,■我的基礎獎金!$F$58:$F$77)</f>
        <v>700</v>
      </c>
      <c r="I22" s="119">
        <f>SUMIF(■我的基礎獎金!$A$58:$A$77,$B22,■我的基礎獎金!$G$58:$G$77)</f>
        <v>1000</v>
      </c>
      <c r="J22" s="119">
        <f>SUMIF(■我的基礎獎金!$A$58:$A$77,$B22,■我的基礎獎金!$H$58:$H$77)</f>
        <v>0</v>
      </c>
      <c r="K22" s="120">
        <f t="shared" si="0"/>
        <v>5100</v>
      </c>
      <c r="L22" s="121">
        <f ca="1">SUMIF('2. 毛利分潤獎金'!$B$4:$B$32,$B22,'2. 毛利分潤獎金'!$H$4:$H$32)</f>
        <v>0</v>
      </c>
      <c r="M22" s="122">
        <f>SUMIF('🏆 追星獎'!$C$9:$C$27,$B22,'🏆 追星獎'!$G$9:$G$27)</f>
        <v>0</v>
      </c>
      <c r="N22" s="123">
        <f ca="1">SUMIF('3. 全壘打得分表'!$B$6:$B$25,$B22,'3. 全壘打得分表'!$AC$6:$AC$25)</f>
        <v>9.0059214907511294</v>
      </c>
      <c r="O22" s="124">
        <f ca="1">SUMIF('3. 全壘打得分表'!$B$6:$B$25,$B22,'3. 全壘打得分表'!$E$6:$E$25)</f>
        <v>3000</v>
      </c>
      <c r="P22" s="125">
        <f>SUMIF(■我的KPI獎金!$B:$B,$B22,■我的KPI獎金!$D:$D)</f>
        <v>-3500</v>
      </c>
      <c r="Q22" s="126">
        <f t="shared" ca="1" si="1"/>
        <v>8100</v>
      </c>
      <c r="R22" s="127">
        <f ca="1">S22/130000+(SUMIF(數據!$A:$A,$B22,數據!$AI:$AI))</f>
        <v>0.82692307692307687</v>
      </c>
      <c r="S22" s="128">
        <f ca="1">SUMIF('1. 基礎獎金 + 獎金排名'!$C:$C,$B22,'1. 基礎獎金 + 獎金排名'!$O:$O)+SUMIF('2. 毛利分潤獎金'!$B:$B,$B22,'2. 毛利分潤獎金'!$D:$D)</f>
        <v>107500</v>
      </c>
      <c r="T22" s="7"/>
    </row>
    <row r="23" spans="1:20" ht="21.75" customHeight="1">
      <c r="A23" s="129" t="s">
        <v>20</v>
      </c>
      <c r="B23" s="117" t="s">
        <v>105</v>
      </c>
      <c r="C23" s="117" t="s">
        <v>100</v>
      </c>
      <c r="D23" s="118">
        <f>SUMIF(■我的基礎獎金!$A$58:$A$77,$B23,■我的基礎獎金!$B$58:$B$77)</f>
        <v>1150</v>
      </c>
      <c r="E23" s="119">
        <f>SUMIF(■我的基礎獎金!$A$58:$A$77,$B23,■我的基礎獎金!$C$58:$C$77)</f>
        <v>300</v>
      </c>
      <c r="F23" s="119">
        <f>SUMIF(■我的基礎獎金!$A$58:$A$77,$B23,■我的基礎獎金!$D$58:$D$77)</f>
        <v>1300</v>
      </c>
      <c r="G23" s="119">
        <f>SUMIF(■我的基礎獎金!$A$58:$A$77,$B23,■我的基礎獎金!$E$58:$E$77)</f>
        <v>700</v>
      </c>
      <c r="H23" s="119">
        <f>SUMIF(■我的基礎獎金!$A$58:$A$77,$B23,■我的基礎獎金!$F$58:$F$77)</f>
        <v>700</v>
      </c>
      <c r="I23" s="119">
        <f>SUMIF(■我的基礎獎金!$A$58:$A$77,$B23,■我的基礎獎金!$G$58:$G$77)</f>
        <v>1250</v>
      </c>
      <c r="J23" s="119">
        <f>SUMIF(■我的基礎獎金!$A$58:$A$77,$B23,■我的基礎獎金!$H$58:$H$77)</f>
        <v>0</v>
      </c>
      <c r="K23" s="120">
        <f t="shared" si="0"/>
        <v>5400</v>
      </c>
      <c r="L23" s="121">
        <f ca="1">SUMIF('2. 毛利分潤獎金'!$B$4:$B$32,$B23,'2. 毛利分潤獎金'!$H$4:$H$32)</f>
        <v>8669.6893333333337</v>
      </c>
      <c r="M23" s="122">
        <f>SUMIF('🏆 追星獎'!$C$9:$C$27,$B23,'🏆 追星獎'!$G$9:$G$27)</f>
        <v>0</v>
      </c>
      <c r="N23" s="123">
        <f ca="1">SUMIF('3. 全壘打得分表'!$B$6:$B$25,$B23,'3. 全壘打得分表'!$AC$6:$AC$25)</f>
        <v>9.3173764709248008</v>
      </c>
      <c r="O23" s="124">
        <f ca="1">SUMIF('3. 全壘打得分表'!$B$6:$B$25,$B23,'3. 全壘打得分表'!$E$6:$E$25)</f>
        <v>3000</v>
      </c>
      <c r="P23" s="125">
        <f>SUMIF(■我的KPI獎金!$B:$B,$B23,■我的KPI獎金!$D:$D)</f>
        <v>-3500</v>
      </c>
      <c r="Q23" s="126">
        <f t="shared" ca="1" si="1"/>
        <v>17069.689333333336</v>
      </c>
      <c r="R23" s="127">
        <f ca="1">S23/130000+(SUMIF(數據!$A:$A,$B23,數據!$AI:$AI))</f>
        <v>2.2741829743589745</v>
      </c>
      <c r="S23" s="128">
        <f ca="1">SUMIF('1. 基礎獎金 + 獎金排名'!$C:$C,$B23,'1. 基礎獎金 + 獎金排名'!$O:$O)+SUMIF('2. 毛利分潤獎金'!$B:$B,$B23,'2. 毛利分潤獎金'!$D:$D)</f>
        <v>295643.78666666668</v>
      </c>
      <c r="T23" s="7"/>
    </row>
    <row r="24" spans="1:20" ht="21.75" customHeight="1">
      <c r="A24" s="129" t="s">
        <v>19</v>
      </c>
      <c r="B24" s="117" t="s">
        <v>107</v>
      </c>
      <c r="C24" s="117" t="s">
        <v>104</v>
      </c>
      <c r="D24" s="118">
        <f>SUMIF(■我的基礎獎金!$A$58:$A$77,$B24,■我的基礎獎金!$B$58:$B$77)</f>
        <v>1500</v>
      </c>
      <c r="E24" s="119">
        <f>SUMIF(■我的基礎獎金!$A$58:$A$77,$B24,■我的基礎獎金!$C$58:$C$77)</f>
        <v>300</v>
      </c>
      <c r="F24" s="119">
        <f>SUMIF(■我的基礎獎金!$A$58:$A$77,$B24,■我的基礎獎金!$D$58:$D$77)</f>
        <v>500</v>
      </c>
      <c r="G24" s="119">
        <f>SUMIF(■我的基礎獎金!$A$58:$A$77,$B24,■我的基礎獎金!$E$58:$E$77)</f>
        <v>400</v>
      </c>
      <c r="H24" s="119">
        <f>SUMIF(■我的基礎獎金!$A$58:$A$77,$B24,■我的基礎獎金!$F$58:$F$77)</f>
        <v>600</v>
      </c>
      <c r="I24" s="119">
        <f>SUMIF(■我的基礎獎金!$A$58:$A$77,$B24,■我的基礎獎金!$G$58:$G$77)</f>
        <v>0</v>
      </c>
      <c r="J24" s="119">
        <f>SUMIF(■我的基礎獎金!$A$58:$A$77,$B24,■我的基礎獎金!$H$58:$H$77)</f>
        <v>0</v>
      </c>
      <c r="K24" s="120">
        <f t="shared" si="0"/>
        <v>3300</v>
      </c>
      <c r="L24" s="121">
        <f ca="1">SUMIF('2. 毛利分潤獎金'!$B$4:$B$32,$B24,'2. 毛利分潤獎金'!$H$4:$H$32)</f>
        <v>0</v>
      </c>
      <c r="M24" s="122">
        <f>SUMIF('🏆 追星獎'!$C$9:$C$27,$B24,'🏆 追星獎'!$G$9:$G$27)</f>
        <v>0</v>
      </c>
      <c r="N24" s="123">
        <f ca="1">SUMIF('3. 全壘打得分表'!$B$6:$B$25,$B24,'3. 全壘打得分表'!$AC$6:$AC$25)</f>
        <v>8.1640953216030621</v>
      </c>
      <c r="O24" s="124">
        <f ca="1">SUMIF('3. 全壘打得分表'!$B$6:$B$25,$B24,'3. 全壘打得分表'!$E$6:$E$25)</f>
        <v>3000</v>
      </c>
      <c r="P24" s="125">
        <f>SUMIF(■我的KPI獎金!$B:$B,$B24,■我的KPI獎金!$D:$D)</f>
        <v>-4500</v>
      </c>
      <c r="Q24" s="126">
        <f t="shared" ca="1" si="1"/>
        <v>6300</v>
      </c>
      <c r="R24" s="127">
        <f ca="1">S24/130000+(SUMIF(數據!$A:$A,$B24,數據!$AI:$AI))</f>
        <v>0.63461538461538458</v>
      </c>
      <c r="S24" s="128">
        <f ca="1">SUMIF('1. 基礎獎金 + 獎金排名'!$C:$C,$B24,'1. 基礎獎金 + 獎金排名'!$O:$O)+SUMIF('2. 毛利分潤獎金'!$B:$B,$B24,'2. 毛利分潤獎金'!$D:$D)</f>
        <v>82500</v>
      </c>
      <c r="T24" s="7"/>
    </row>
    <row r="25" spans="1:20" ht="24" customHeight="1">
      <c r="A25" s="129" t="s">
        <v>18</v>
      </c>
      <c r="B25" s="117" t="s">
        <v>97</v>
      </c>
      <c r="C25" s="117" t="s">
        <v>89</v>
      </c>
      <c r="D25" s="118">
        <f>SUMIF(■我的基礎獎金!$A$58:$A$77,$B25,■我的基礎獎金!$B$58:$B$77)</f>
        <v>1350</v>
      </c>
      <c r="E25" s="119">
        <f>SUMIF(■我的基礎獎金!$A$58:$A$77,$B25,■我的基礎獎金!$C$58:$C$77)</f>
        <v>300</v>
      </c>
      <c r="F25" s="119">
        <f>SUMIF(■我的基礎獎金!$A$58:$A$77,$B25,■我的基礎獎金!$D$58:$D$77)</f>
        <v>400</v>
      </c>
      <c r="G25" s="119">
        <f>SUMIF(■我的基礎獎金!$A$58:$A$77,$B25,■我的基礎獎金!$E$58:$E$77)</f>
        <v>600</v>
      </c>
      <c r="H25" s="119">
        <f>SUMIF(■我的基礎獎金!$A$58:$A$77,$B25,■我的基礎獎金!$F$58:$F$77)</f>
        <v>200</v>
      </c>
      <c r="I25" s="119">
        <f>SUMIF(■我的基礎獎金!$A$58:$A$77,$B25,■我的基礎獎金!$G$58:$G$77)</f>
        <v>0</v>
      </c>
      <c r="J25" s="119">
        <f>SUMIF(■我的基礎獎金!$A$58:$A$77,$B25,■我的基礎獎金!$H$58:$H$77)</f>
        <v>0</v>
      </c>
      <c r="K25" s="120">
        <f t="shared" si="0"/>
        <v>2850</v>
      </c>
      <c r="L25" s="121">
        <f ca="1">SUMIF('2. 毛利分潤獎金'!$B$4:$B$32,$B25,'2. 毛利分潤獎金'!$H$4:$H$32)</f>
        <v>0</v>
      </c>
      <c r="M25" s="122">
        <f>SUMIF('🏆 追星獎'!$C$9:$C$27,$B25,'🏆 追星獎'!$G$9:$G$27)</f>
        <v>0</v>
      </c>
      <c r="N25" s="123">
        <f ca="1">SUMIF('3. 全壘打得分表'!$B$6:$B$25,$B25,'3. 全壘打得分表'!$AC$6:$AC$25)</f>
        <v>5.7414557023031492</v>
      </c>
      <c r="O25" s="124">
        <f ca="1">SUMIF('3. 全壘打得分表'!$B$6:$B$25,$B25,'3. 全壘打得分表'!$E$6:$E$25)</f>
        <v>0</v>
      </c>
      <c r="P25" s="125">
        <f>SUMIF(■我的KPI獎金!$B:$B,$B25,■我的KPI獎金!$D:$D)</f>
        <v>-4500</v>
      </c>
      <c r="Q25" s="126">
        <f t="shared" ca="1" si="1"/>
        <v>2850</v>
      </c>
      <c r="R25" s="127">
        <f ca="1">S25/130000+(SUMIF(數據!$A:$A,$B25,數據!$AI:$AI))</f>
        <v>0.53653846153846152</v>
      </c>
      <c r="S25" s="131">
        <f ca="1">SUMIF('1. 基礎獎金 + 獎金排名'!$C:$C,$B25,'1. 基礎獎金 + 獎金排名'!$O:$O)+SUMIF('2. 毛利分潤獎金'!$B:$B,$B25,'2. 毛利分潤獎金'!$D:$D)</f>
        <v>69750</v>
      </c>
      <c r="T25" s="7"/>
    </row>
    <row r="26" spans="1:20" ht="12" hidden="1" customHeight="1">
      <c r="A26" s="129"/>
      <c r="B26" s="117"/>
      <c r="C26" s="502"/>
      <c r="D26" s="118"/>
      <c r="E26" s="119"/>
      <c r="F26" s="119"/>
      <c r="G26" s="119"/>
      <c r="H26" s="119"/>
      <c r="I26" s="119"/>
      <c r="J26" s="119"/>
      <c r="K26" s="120"/>
      <c r="L26" s="121"/>
      <c r="M26" s="122"/>
      <c r="N26" s="123"/>
      <c r="O26" s="124"/>
      <c r="P26" s="125"/>
      <c r="Q26" s="126"/>
      <c r="R26" s="127"/>
      <c r="S26" s="128"/>
      <c r="T26" s="7"/>
    </row>
    <row r="27" spans="1:20" ht="21.75" customHeight="1">
      <c r="A27" s="132" t="s">
        <v>114</v>
      </c>
      <c r="B27" s="133"/>
      <c r="C27" s="134"/>
      <c r="D27" s="135">
        <f t="shared" ref="D27:Q27" si="2">SUM(D7:D26)</f>
        <v>37100</v>
      </c>
      <c r="E27" s="135">
        <f t="shared" si="2"/>
        <v>9000</v>
      </c>
      <c r="F27" s="135">
        <f t="shared" si="2"/>
        <v>19200</v>
      </c>
      <c r="G27" s="135">
        <f t="shared" si="2"/>
        <v>12500</v>
      </c>
      <c r="H27" s="135">
        <f t="shared" si="2"/>
        <v>13900</v>
      </c>
      <c r="I27" s="135">
        <f t="shared" si="2"/>
        <v>13375</v>
      </c>
      <c r="J27" s="135">
        <f t="shared" si="2"/>
        <v>1000</v>
      </c>
      <c r="K27" s="136">
        <f t="shared" si="2"/>
        <v>106075</v>
      </c>
      <c r="L27" s="136">
        <f t="shared" ca="1" si="2"/>
        <v>211253.59033333333</v>
      </c>
      <c r="M27" s="136">
        <f t="shared" si="2"/>
        <v>34000</v>
      </c>
      <c r="N27" s="137">
        <f t="shared" ca="1" si="2"/>
        <v>200.46884065389804</v>
      </c>
      <c r="O27" s="138">
        <f t="shared" ca="1" si="2"/>
        <v>69000</v>
      </c>
      <c r="P27" s="138">
        <f t="shared" si="2"/>
        <v>-67000</v>
      </c>
      <c r="Q27" s="138">
        <f t="shared" ca="1" si="2"/>
        <v>420328.59033333336</v>
      </c>
      <c r="R27" s="139"/>
      <c r="S27" s="7"/>
      <c r="T27" s="7"/>
    </row>
    <row r="28" spans="1:20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34" spans="17:17" ht="15.75" customHeight="1">
      <c r="Q34" s="140">
        <f ca="1">Q27/21000000</f>
        <v>2.0015647158730158E-2</v>
      </c>
    </row>
  </sheetData>
  <autoFilter ref="A5:X5" xr:uid="{00000000-0009-0000-0000-000001000000}">
    <sortState xmlns:xlrd2="http://schemas.microsoft.com/office/spreadsheetml/2017/richdata2" ref="A6:X25">
      <sortCondition descending="1" ref="S5"/>
    </sortState>
  </autoFilter>
  <phoneticPr fontId="149" type="noConversion"/>
  <conditionalFormatting sqref="R2">
    <cfRule type="colorScale" priority="13">
      <colorScale>
        <cfvo type="min"/>
        <cfvo type="max"/>
        <color rgb="FFE89DBF"/>
        <color rgb="FF7030A0"/>
      </colorScale>
    </cfRule>
  </conditionalFormatting>
  <conditionalFormatting sqref="R7:R99">
    <cfRule type="expression" dxfId="40" priority="14">
      <formula>AND($R7&gt;0, RANK($R7,$R$7:$R$101,0)/COUNTA($R$7:$R$101)&lt;=0.2)</formula>
    </cfRule>
    <cfRule type="expression" dxfId="39" priority="15">
      <formula>AND($R7&gt;0, RANK($R7,$R$7:$R$101,0)/COUNTA($R$7:$R$101)&gt;0.85)</formula>
    </cfRule>
    <cfRule type="expression" dxfId="38" priority="16">
      <formula>AND($R7&gt;0, RANK($R7,$R$7:$R$101,0)/COUNTA($R$7:$R$101)&gt;0.2, RANK($R7,$R$7:$R$101,0)/COUNTA($R$7:$R$101)&lt;=0.6)</formula>
    </cfRule>
    <cfRule type="expression" dxfId="37" priority="17">
      <formula>AND($R7&gt;0, RANK($R7,$R$7:$R$101,0)/COUNTA($R$7:$R$101)&gt;0.6, RANK($R7,$R$7:$R$101,0)/COUNTA($R$7:$R$101)&lt;=0.85)</formula>
    </cfRule>
  </conditionalFormatting>
  <conditionalFormatting sqref="S1">
    <cfRule type="colorScale" priority="18">
      <colorScale>
        <cfvo type="min"/>
        <cfvo type="max"/>
        <color rgb="FFE89DBF"/>
        <color rgb="FF7030A0"/>
      </colorScale>
    </cfRule>
    <cfRule type="colorScale" priority="19">
      <colorScale>
        <cfvo type="min"/>
        <cfvo type="max"/>
        <color rgb="FF7030A0"/>
        <color rgb="FF9966FF"/>
      </colorScale>
    </cfRule>
    <cfRule type="colorScale" priority="20">
      <colorScale>
        <cfvo type="min"/>
        <cfvo type="max"/>
        <color rgb="FFB7DEE8"/>
        <color rgb="FF93CDDD"/>
      </colorScale>
    </cfRule>
  </conditionalFormatting>
  <conditionalFormatting sqref="S7:S25">
    <cfRule type="expression" dxfId="36" priority="5">
      <formula>AND($R7&gt;0, RANK($R7,$R$7:$R$101,0)/COUNTA($R$7:$R$101)&lt;=0.2)</formula>
    </cfRule>
    <cfRule type="expression" dxfId="35" priority="6">
      <formula>AND($R7&gt;0, RANK($R7,$R$7:$R$101,0)/COUNTA($R$7:$R$101)&gt;0.85)</formula>
    </cfRule>
    <cfRule type="expression" dxfId="34" priority="7">
      <formula>AND($R7&gt;0, RANK($R7,$R$7:$R$101,0)/COUNTA($R$7:$R$101)&gt;0.2, RANK($R7,$R$7:$R$101,0)/COUNTA($R$7:$R$101)&lt;=0.6)</formula>
    </cfRule>
    <cfRule type="expression" dxfId="33" priority="8">
      <formula>AND($R7&gt;0, RANK($R7,$R$7:$R$101,0)/COUNTA($R$7:$R$101)&gt;0.6, RANK($R7,$R$7:$R$101,0)/COUNTA($R$7:$R$101)&lt;=0.85)</formula>
    </cfRule>
  </conditionalFormatting>
  <conditionalFormatting sqref="S26:T26">
    <cfRule type="expression" dxfId="32" priority="9">
      <formula>AND($R26&gt;0, RANK($R26,$R$7:$R$101,0)/COUNTA($R$7:$R$101)&lt;=0.2)</formula>
    </cfRule>
    <cfRule type="expression" dxfId="31" priority="10">
      <formula>AND($R26&gt;0, RANK($R26,$R$7:$R$101,0)/COUNTA($R$7:$R$101)&gt;0.85)</formula>
    </cfRule>
    <cfRule type="expression" dxfId="30" priority="11">
      <formula>AND($R26&gt;0, RANK($R26,$R$7:$R$101,0)/COUNTA($R$7:$R$101)&gt;0.2, RANK($R26,$R$7:$R$101,0)/COUNTA($R$7:$R$101)&lt;=0.6)</formula>
    </cfRule>
    <cfRule type="expression" dxfId="29" priority="12">
      <formula>AND($R26&gt;0, RANK($R26,$R$7:$R$101,0)/COUNTA($R$7:$R$101)&gt;0.6, RANK($R26,$R$7:$R$101,0)/COUNTA($R$7:$R$101)&lt;=0.85)</formula>
    </cfRule>
  </conditionalFormatting>
  <conditionalFormatting sqref="T1">
    <cfRule type="colorScale" priority="2">
      <colorScale>
        <cfvo type="min"/>
        <cfvo type="max"/>
        <color rgb="FFE89DBF"/>
        <color rgb="FF7030A0"/>
      </colorScale>
    </cfRule>
    <cfRule type="colorScale" priority="3">
      <colorScale>
        <cfvo type="min"/>
        <cfvo type="max"/>
        <color rgb="FF7030A0"/>
        <color rgb="FF9966FF"/>
      </colorScale>
    </cfRule>
    <cfRule type="colorScale" priority="4">
      <colorScale>
        <cfvo type="min"/>
        <cfvo type="max"/>
        <color rgb="FFB7DEE8"/>
        <color rgb="FF93CDDD"/>
      </colorScale>
    </cfRule>
  </conditionalFormatting>
  <pageMargins left="0.75" right="0.75" top="0.84722222222222199" bottom="0.84722222222222199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7E4BD"/>
  </sheetPr>
  <dimension ref="A1:S26"/>
  <sheetViews>
    <sheetView zoomScale="80" zoomScaleNormal="80" workbookViewId="0">
      <pane ySplit="4" topLeftCell="A5" activePane="bottomLeft" state="frozen"/>
      <selection pane="bottomLeft" activeCell="J19" sqref="J19"/>
    </sheetView>
  </sheetViews>
  <sheetFormatPr defaultColWidth="9.140625" defaultRowHeight="15" outlineLevelCol="1"/>
  <cols>
    <col min="1" max="1" width="9.140625" style="7"/>
    <col min="2" max="3" width="10" style="7" customWidth="1"/>
    <col min="4" max="4" width="8" style="7" customWidth="1"/>
    <col min="5" max="5" width="14.7109375" style="7" customWidth="1"/>
    <col min="6" max="6" width="14.42578125" style="7" customWidth="1" outlineLevel="1"/>
    <col min="7" max="7" width="12.7109375" style="7" customWidth="1"/>
    <col min="8" max="10" width="13.5703125" style="7" customWidth="1"/>
    <col min="11" max="11" width="15.7109375" style="7" customWidth="1" outlineLevel="1"/>
    <col min="12" max="12" width="12.7109375" style="7" customWidth="1"/>
    <col min="13" max="13" width="15" style="7" customWidth="1"/>
    <col min="14" max="15" width="12.7109375" style="7" customWidth="1" outlineLevel="1"/>
    <col min="16" max="16" width="16" style="7" customWidth="1" outlineLevel="1"/>
    <col min="17" max="17" width="18.5703125" style="7" customWidth="1"/>
    <col min="18" max="18" width="39.140625" style="7" customWidth="1"/>
    <col min="19" max="19" width="17" style="7" customWidth="1"/>
    <col min="20" max="16384" width="9.140625" style="7"/>
  </cols>
  <sheetData>
    <row r="1" spans="1:19" ht="39.75" customHeight="1">
      <c r="A1" s="518" t="s">
        <v>115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</row>
    <row r="2" spans="1:19" ht="41.25" customHeight="1">
      <c r="A2" s="519" t="s">
        <v>116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</row>
    <row r="3" spans="1:19" ht="16.5" customHeight="1">
      <c r="A3" s="520" t="s">
        <v>117</v>
      </c>
      <c r="B3" s="520"/>
      <c r="C3" s="520"/>
      <c r="D3" s="520"/>
      <c r="E3" s="521" t="s">
        <v>118</v>
      </c>
      <c r="F3" s="521"/>
      <c r="H3" s="521" t="s">
        <v>119</v>
      </c>
      <c r="I3" s="521"/>
      <c r="J3" s="521"/>
      <c r="K3" s="521"/>
      <c r="L3" s="520" t="s">
        <v>120</v>
      </c>
      <c r="M3" s="520"/>
      <c r="N3" s="520"/>
      <c r="O3" s="521" t="s">
        <v>121</v>
      </c>
      <c r="P3" s="521"/>
      <c r="Q3" s="521"/>
      <c r="R3" s="521"/>
    </row>
    <row r="4" spans="1:19" ht="49.5" customHeight="1">
      <c r="A4" s="141" t="s">
        <v>6</v>
      </c>
      <c r="B4" s="142" t="s">
        <v>8</v>
      </c>
      <c r="C4" s="142" t="s">
        <v>7</v>
      </c>
      <c r="D4" s="142" t="s">
        <v>73</v>
      </c>
      <c r="E4" s="143" t="s">
        <v>122</v>
      </c>
      <c r="F4" s="144" t="s">
        <v>123</v>
      </c>
      <c r="G4" s="145" t="s">
        <v>124</v>
      </c>
      <c r="H4" s="146" t="s">
        <v>125</v>
      </c>
      <c r="I4" s="144" t="s">
        <v>126</v>
      </c>
      <c r="J4" s="147" t="s">
        <v>127</v>
      </c>
      <c r="K4" s="148" t="s">
        <v>128</v>
      </c>
      <c r="L4" s="149" t="s">
        <v>79</v>
      </c>
      <c r="M4" s="142" t="s">
        <v>129</v>
      </c>
      <c r="N4" s="150" t="s">
        <v>130</v>
      </c>
      <c r="O4" s="151" t="s">
        <v>131</v>
      </c>
      <c r="P4" s="152" t="s">
        <v>132</v>
      </c>
      <c r="Q4" s="151" t="s">
        <v>65</v>
      </c>
      <c r="R4" s="153" t="s">
        <v>133</v>
      </c>
    </row>
    <row r="5" spans="1:19" ht="24" customHeight="1">
      <c r="A5" s="154">
        <f t="shared" ref="A5:A10" si="0">RANK(P5,P$5:P$23,0)</f>
        <v>10</v>
      </c>
      <c r="B5" s="155" t="str">
        <f>【你的全部獎金】!A23</f>
        <v>仁雄店</v>
      </c>
      <c r="C5" s="156" t="str">
        <f>【你的全部獎金】!B23</f>
        <v>郭紳鴻</v>
      </c>
      <c r="D5" s="155" t="str">
        <f>【你的全部獎金】!C23</f>
        <v>銅級</v>
      </c>
      <c r="E5" s="157">
        <f>SUMIF(【你的全部獎金】!$B$7:$B$26,$C5,【你的全部獎金】!$D$7:$D$26)</f>
        <v>1150</v>
      </c>
      <c r="F5" s="158">
        <f t="shared" ref="F5:F23" si="1">E5*25</f>
        <v>28750</v>
      </c>
      <c r="G5" s="157">
        <f>SUMIF(【你的全部獎金】!$B$7:$B$26,$C5,【你的全部獎金】!$E$7:$E$26)</f>
        <v>300</v>
      </c>
      <c r="H5" s="159">
        <f>SUMIF(【你的全部獎金】!$B$7:$B$26,$C5,【你的全部獎金】!$F$7:$F$26)</f>
        <v>1300</v>
      </c>
      <c r="I5" s="160">
        <f>SUMIF(【你的全部獎金】!$B$7:$B$26,$C5,【你的全部獎金】!$G$7:$G$26)</f>
        <v>700</v>
      </c>
      <c r="J5" s="160">
        <f>SUMIF(【你的全部獎金】!$B$7:$B$26,$C5,【你的全部獎金】!$H$7:$H$26)</f>
        <v>700</v>
      </c>
      <c r="K5" s="161">
        <f t="shared" ref="K5:K23" si="2">SUM(H5,I5,J5)*30</f>
        <v>81000</v>
      </c>
      <c r="L5" s="159">
        <f>SUMIF(【你的全部獎金】!$B$7:$B$26,$C5,【你的全部獎金】!$I$7:$I$26)</f>
        <v>1250</v>
      </c>
      <c r="M5" s="160">
        <f>SUMIF(【你的全部獎金】!$B$7:$B$26,$C5,【你的全部獎金】!$J$7:$J$26)</f>
        <v>0</v>
      </c>
      <c r="N5" s="162">
        <f t="shared" ref="N5:N23" si="3">SUM(L5,M5)*10</f>
        <v>12500</v>
      </c>
      <c r="O5" s="163">
        <f t="shared" ref="O5:O23" si="4">SUM(F5,K5,N5)</f>
        <v>122250</v>
      </c>
      <c r="P5" s="164">
        <f t="shared" ref="P5:P23" si="5">O5/130000</f>
        <v>0.94038461538461537</v>
      </c>
      <c r="Q5" s="165">
        <f t="shared" ref="Q5:Q23" si="6">SUM(E5,G5,I5,J5,H5,L5)</f>
        <v>5400</v>
      </c>
      <c r="R5" s="166" t="str">
        <f t="shared" ref="R5:R10" si="7">REPT("█",MIN(20,INT(P5*2)))&amp;REPT("░",20-MIN(20,INT(P5*2)))</f>
        <v>█░░░░░░░░░░░░░░░░░░░</v>
      </c>
      <c r="S5" s="167"/>
    </row>
    <row r="6" spans="1:19" ht="24" customHeight="1">
      <c r="A6" s="154">
        <f t="shared" si="0"/>
        <v>6</v>
      </c>
      <c r="B6" s="155" t="str">
        <f>【你的全部獎金】!A12</f>
        <v>鼎山店</v>
      </c>
      <c r="C6" s="156" t="str">
        <f>【你的全部獎金】!B12</f>
        <v>陳亭安</v>
      </c>
      <c r="D6" s="155" t="str">
        <f>【你的全部獎金】!C12</f>
        <v>銀級</v>
      </c>
      <c r="E6" s="157">
        <f>SUMIF(【你的全部獎金】!$B$7:$B$26,$C6,【你的全部獎金】!$D$7:$D$26)</f>
        <v>2350</v>
      </c>
      <c r="F6" s="158">
        <f t="shared" si="1"/>
        <v>58750</v>
      </c>
      <c r="G6" s="157">
        <f>SUMIF(【你的全部獎金】!$B$7:$B$26,$C6,【你的全部獎金】!$E$7:$E$26)</f>
        <v>600</v>
      </c>
      <c r="H6" s="159">
        <f>SUMIF(【你的全部獎金】!$B$7:$B$26,$C6,【你的全部獎金】!$F$7:$F$26)</f>
        <v>1100</v>
      </c>
      <c r="I6" s="160">
        <f>SUMIF(【你的全部獎金】!$B$7:$B$26,$C6,【你的全部獎金】!$G$7:$G$26)</f>
        <v>1100</v>
      </c>
      <c r="J6" s="160">
        <f>SUMIF(【你的全部獎金】!$B$7:$B$26,$C6,【你的全部獎金】!$H$7:$H$26)</f>
        <v>700</v>
      </c>
      <c r="K6" s="161">
        <f t="shared" si="2"/>
        <v>87000</v>
      </c>
      <c r="L6" s="159">
        <f>SUMIF(【你的全部獎金】!$B$7:$B$26,$C6,【你的全部獎金】!$I$7:$I$26)</f>
        <v>0</v>
      </c>
      <c r="M6" s="160">
        <f>SUMIF(【你的全部獎金】!$B$7:$B$26,$C6,【你的全部獎金】!$J$7:$J$26)</f>
        <v>0</v>
      </c>
      <c r="N6" s="162">
        <f t="shared" si="3"/>
        <v>0</v>
      </c>
      <c r="O6" s="163">
        <f t="shared" si="4"/>
        <v>145750</v>
      </c>
      <c r="P6" s="164">
        <f t="shared" si="5"/>
        <v>1.1211538461538462</v>
      </c>
      <c r="Q6" s="165">
        <f t="shared" si="6"/>
        <v>5850</v>
      </c>
      <c r="R6" s="166" t="str">
        <f t="shared" si="7"/>
        <v>██░░░░░░░░░░░░░░░░░░</v>
      </c>
      <c r="S6" s="167"/>
    </row>
    <row r="7" spans="1:19" ht="24" customHeight="1">
      <c r="A7" s="154">
        <f t="shared" si="0"/>
        <v>5</v>
      </c>
      <c r="B7" s="155" t="str">
        <f>【你的全部獎金】!A14</f>
        <v>凱旋店</v>
      </c>
      <c r="C7" s="156" t="str">
        <f>【你的全部獎金】!B14</f>
        <v>黃子珊</v>
      </c>
      <c r="D7" s="155" t="str">
        <f>【你的全部獎金】!C14</f>
        <v>銀級</v>
      </c>
      <c r="E7" s="157">
        <f>SUMIF(【你的全部獎金】!$B$7:$B$26,$C7,【你的全部獎金】!$D$7:$D$26)</f>
        <v>2550</v>
      </c>
      <c r="F7" s="158">
        <f t="shared" si="1"/>
        <v>63750</v>
      </c>
      <c r="G7" s="157">
        <f>SUMIF(【你的全部獎金】!$B$7:$B$26,$C7,【你的全部獎金】!$E$7:$E$26)</f>
        <v>600</v>
      </c>
      <c r="H7" s="159">
        <f>SUMIF(【你的全部獎金】!$B$7:$B$26,$C7,【你的全部獎金】!$F$7:$F$26)</f>
        <v>1100</v>
      </c>
      <c r="I7" s="160">
        <f>SUMIF(【你的全部獎金】!$B$7:$B$26,$C7,【你的全部獎金】!$G$7:$G$26)</f>
        <v>700</v>
      </c>
      <c r="J7" s="160">
        <f>SUMIF(【你的全部獎金】!$B$7:$B$26,$C7,【你的全部獎金】!$H$7:$H$26)</f>
        <v>900</v>
      </c>
      <c r="K7" s="161">
        <f t="shared" si="2"/>
        <v>81000</v>
      </c>
      <c r="L7" s="159">
        <f>SUMIF(【你的全部獎金】!$B$7:$B$26,$C7,【你的全部獎金】!$I$7:$I$26)</f>
        <v>1000</v>
      </c>
      <c r="M7" s="160">
        <f>SUMIF(【你的全部獎金】!$B$7:$B$26,$C7,【你的全部獎金】!$J$7:$J$26)</f>
        <v>0</v>
      </c>
      <c r="N7" s="162">
        <f t="shared" si="3"/>
        <v>10000</v>
      </c>
      <c r="O7" s="163">
        <f t="shared" si="4"/>
        <v>154750</v>
      </c>
      <c r="P7" s="164">
        <f t="shared" si="5"/>
        <v>1.1903846153846154</v>
      </c>
      <c r="Q7" s="165">
        <f t="shared" si="6"/>
        <v>6850</v>
      </c>
      <c r="R7" s="166" t="str">
        <f t="shared" si="7"/>
        <v>██░░░░░░░░░░░░░░░░░░</v>
      </c>
      <c r="S7" s="167"/>
    </row>
    <row r="8" spans="1:19" ht="24" customHeight="1">
      <c r="A8" s="154">
        <f t="shared" si="0"/>
        <v>14</v>
      </c>
      <c r="B8" s="155" t="str">
        <f>【你的全部獎金】!A18</f>
        <v>凱旋店</v>
      </c>
      <c r="C8" s="156" t="str">
        <f>【你的全部獎金】!B18</f>
        <v>林瑞獻</v>
      </c>
      <c r="D8" s="155" t="str">
        <f>【你的全部獎金】!C18</f>
        <v>石頭</v>
      </c>
      <c r="E8" s="157">
        <f>SUMIF(【你的全部獎金】!$B$7:$B$26,$C8,【你的全部獎金】!$D$7:$D$26)</f>
        <v>1200</v>
      </c>
      <c r="F8" s="158">
        <f t="shared" si="1"/>
        <v>30000</v>
      </c>
      <c r="G8" s="157">
        <f>SUMIF(【你的全部獎金】!$B$7:$B$26,$C8,【你的全部獎金】!$E$7:$E$26)</f>
        <v>300</v>
      </c>
      <c r="H8" s="159">
        <f>SUMIF(【你的全部獎金】!$B$7:$B$26,$C8,【你的全部獎金】!$F$7:$F$26)</f>
        <v>1000</v>
      </c>
      <c r="I8" s="160">
        <f>SUMIF(【你的全部獎金】!$B$7:$B$26,$C8,【你的全部獎金】!$G$7:$G$26)</f>
        <v>200</v>
      </c>
      <c r="J8" s="160">
        <f>SUMIF(【你的全部獎金】!$B$7:$B$26,$C8,【你的全部獎金】!$H$7:$H$26)</f>
        <v>500</v>
      </c>
      <c r="K8" s="161">
        <f t="shared" si="2"/>
        <v>51000</v>
      </c>
      <c r="L8" s="159">
        <f>SUMIF(【你的全部獎金】!$B$7:$B$26,$C8,【你的全部獎金】!$I$7:$I$26)</f>
        <v>1250</v>
      </c>
      <c r="M8" s="160">
        <f>SUMIF(【你的全部獎金】!$B$7:$B$26,$C8,【你的全部獎金】!$J$7:$J$26)</f>
        <v>0</v>
      </c>
      <c r="N8" s="162">
        <f t="shared" si="3"/>
        <v>12500</v>
      </c>
      <c r="O8" s="163">
        <f t="shared" si="4"/>
        <v>93500</v>
      </c>
      <c r="P8" s="164">
        <f t="shared" si="5"/>
        <v>0.71923076923076923</v>
      </c>
      <c r="Q8" s="165">
        <f t="shared" si="6"/>
        <v>4450</v>
      </c>
      <c r="R8" s="166" t="str">
        <f t="shared" si="7"/>
        <v>█░░░░░░░░░░░░░░░░░░░</v>
      </c>
      <c r="S8" s="167"/>
    </row>
    <row r="9" spans="1:19" ht="24" customHeight="1">
      <c r="A9" s="154">
        <f t="shared" si="0"/>
        <v>18</v>
      </c>
      <c r="B9" s="155" t="str">
        <f>【你的全部獎金】!A21</f>
        <v>凱旋店</v>
      </c>
      <c r="C9" s="156" t="str">
        <f>【你的全部獎金】!B21</f>
        <v>劉宗翰</v>
      </c>
      <c r="D9" s="155" t="str">
        <f>【你的全部獎金】!C21</f>
        <v>小石頭</v>
      </c>
      <c r="E9" s="157">
        <f>SUMIF(【你的全部獎金】!$B$7:$B$26,$C9,【你的全部獎金】!$D$7:$D$26)</f>
        <v>800</v>
      </c>
      <c r="F9" s="158">
        <f t="shared" si="1"/>
        <v>20000</v>
      </c>
      <c r="G9" s="157">
        <f>SUMIF(【你的全部獎金】!$B$7:$B$26,$C9,【你的全部獎金】!$E$7:$E$26)</f>
        <v>0</v>
      </c>
      <c r="H9" s="159">
        <f>SUMIF(【你的全部獎金】!$B$7:$B$26,$C9,【你的全部獎金】!$F$7:$F$26)</f>
        <v>1100</v>
      </c>
      <c r="I9" s="160">
        <f>SUMIF(【你的全部獎金】!$B$7:$B$26,$C9,【你的全部獎金】!$G$7:$G$26)</f>
        <v>500</v>
      </c>
      <c r="J9" s="160">
        <f>SUMIF(【你的全部獎金】!$B$7:$B$26,$C9,【你的全部獎金】!$H$7:$H$26)</f>
        <v>300</v>
      </c>
      <c r="K9" s="161">
        <f t="shared" si="2"/>
        <v>57000</v>
      </c>
      <c r="L9" s="159">
        <f>SUMIF(【你的全部獎金】!$B$7:$B$26,$C9,【你的全部獎金】!$I$7:$I$26)</f>
        <v>0</v>
      </c>
      <c r="M9" s="160">
        <f>SUMIF(【你的全部獎金】!$B$7:$B$26,$C9,【你的全部獎金】!$J$7:$J$26)</f>
        <v>0</v>
      </c>
      <c r="N9" s="162">
        <f t="shared" si="3"/>
        <v>0</v>
      </c>
      <c r="O9" s="163">
        <f t="shared" si="4"/>
        <v>77000</v>
      </c>
      <c r="P9" s="164">
        <f t="shared" si="5"/>
        <v>0.59230769230769231</v>
      </c>
      <c r="Q9" s="165">
        <f t="shared" si="6"/>
        <v>2700</v>
      </c>
      <c r="R9" s="166" t="str">
        <f t="shared" si="7"/>
        <v>█░░░░░░░░░░░░░░░░░░░</v>
      </c>
      <c r="S9" s="167"/>
    </row>
    <row r="10" spans="1:19" ht="24" customHeight="1">
      <c r="A10" s="154">
        <f t="shared" si="0"/>
        <v>19</v>
      </c>
      <c r="B10" s="155" t="str">
        <f>【你的全部獎金】!A25</f>
        <v>陽明店</v>
      </c>
      <c r="C10" s="156" t="str">
        <f>【你的全部獎金】!B25</f>
        <v>劉芳廷</v>
      </c>
      <c r="D10" s="155" t="str">
        <f>【你的全部獎金】!C25</f>
        <v>銀級</v>
      </c>
      <c r="E10" s="157">
        <f>SUMIF(【你的全部獎金】!$B$7:$B$26,$C10,【你的全部獎金】!$D$7:$D$26)</f>
        <v>1350</v>
      </c>
      <c r="F10" s="158">
        <f t="shared" si="1"/>
        <v>33750</v>
      </c>
      <c r="G10" s="157">
        <f>SUMIF(【你的全部獎金】!$B$7:$B$26,$C10,【你的全部獎金】!$E$7:$E$26)</f>
        <v>300</v>
      </c>
      <c r="H10" s="159">
        <f>SUMIF(【你的全部獎金】!$B$7:$B$26,$C10,【你的全部獎金】!$F$7:$F$26)</f>
        <v>400</v>
      </c>
      <c r="I10" s="160">
        <f>SUMIF(【你的全部獎金】!$B$7:$B$26,$C10,【你的全部獎金】!$G$7:$G$26)</f>
        <v>600</v>
      </c>
      <c r="J10" s="160">
        <f>SUMIF(【你的全部獎金】!$B$7:$B$26,$C10,【你的全部獎金】!$H$7:$H$26)</f>
        <v>200</v>
      </c>
      <c r="K10" s="161">
        <f t="shared" si="2"/>
        <v>36000</v>
      </c>
      <c r="L10" s="159">
        <f>SUMIF(【你的全部獎金】!$B$7:$B$26,$C10,【你的全部獎金】!$I$7:$I$26)</f>
        <v>0</v>
      </c>
      <c r="M10" s="160">
        <f>SUMIF(【你的全部獎金】!$B$7:$B$26,$C10,【你的全部獎金】!$J$7:$J$26)</f>
        <v>0</v>
      </c>
      <c r="N10" s="162">
        <f t="shared" si="3"/>
        <v>0</v>
      </c>
      <c r="O10" s="163">
        <f t="shared" si="4"/>
        <v>69750</v>
      </c>
      <c r="P10" s="164">
        <f t="shared" si="5"/>
        <v>0.53653846153846152</v>
      </c>
      <c r="Q10" s="165">
        <f t="shared" si="6"/>
        <v>2850</v>
      </c>
      <c r="R10" s="166" t="str">
        <f t="shared" si="7"/>
        <v>█░░░░░░░░░░░░░░░░░░░</v>
      </c>
      <c r="S10" s="167"/>
    </row>
    <row r="11" spans="1:19" ht="24" customHeight="1">
      <c r="A11" s="154">
        <f>RANK(P11,P$5:$P$23,0)</f>
        <v>3</v>
      </c>
      <c r="B11" s="155" t="str">
        <f>【你的全部獎金】!A10</f>
        <v>凱旋店</v>
      </c>
      <c r="C11" s="156" t="str">
        <f>【你的全部獎金】!B10</f>
        <v>陳宛姍</v>
      </c>
      <c r="D11" s="155" t="str">
        <f>【你的全部獎金】!C10</f>
        <v>白金級</v>
      </c>
      <c r="E11" s="157">
        <f>SUMIF(【你的全部獎金】!$B$7:$B$26,$C11,【你的全部獎金】!$D$7:$D$26)</f>
        <v>2200</v>
      </c>
      <c r="F11" s="169">
        <f t="shared" si="1"/>
        <v>55000</v>
      </c>
      <c r="G11" s="157">
        <f>SUMIF(【你的全部獎金】!$B$7:$B$26,$C11,【你的全部獎金】!$E$7:$E$26)</f>
        <v>600</v>
      </c>
      <c r="H11" s="473">
        <f>SUMIF(【你的全部獎金】!$B$7:$B$26,$C11,【你的全部獎金】!$F$7:$F$26)</f>
        <v>1700</v>
      </c>
      <c r="I11" s="168">
        <f>SUMIF(【你的全部獎金】!$B$7:$B$26,$C11,【你的全部獎金】!$G$7:$G$26)</f>
        <v>800</v>
      </c>
      <c r="J11" s="168">
        <f>SUMIF(【你的全部獎金】!$B$7:$B$26,$C11,【你的全部獎金】!$H$7:$H$26)</f>
        <v>1000</v>
      </c>
      <c r="K11" s="474">
        <f t="shared" si="2"/>
        <v>105000</v>
      </c>
      <c r="L11" s="473">
        <f>SUMIF(【你的全部獎金】!$B$7:$B$26,$C11,【你的全部獎金】!$I$7:$I$26)</f>
        <v>2750</v>
      </c>
      <c r="M11" s="168">
        <f>SUMIF(【你的全部獎金】!$B$7:$B$26,$C11,【你的全部獎金】!$J$7:$J$26)</f>
        <v>0</v>
      </c>
      <c r="N11" s="475">
        <f t="shared" si="3"/>
        <v>27500</v>
      </c>
      <c r="O11" s="476">
        <f t="shared" si="4"/>
        <v>187500</v>
      </c>
      <c r="P11" s="477">
        <f t="shared" si="5"/>
        <v>1.4423076923076923</v>
      </c>
      <c r="Q11" s="165">
        <f t="shared" si="6"/>
        <v>9050</v>
      </c>
      <c r="R11" s="166"/>
      <c r="S11" s="167"/>
    </row>
    <row r="12" spans="1:19" ht="24" customHeight="1">
      <c r="A12" s="154">
        <f t="shared" ref="A12:A23" si="8">RANK(P12,P$5:P$23,0)</f>
        <v>9</v>
      </c>
      <c r="B12" s="155" t="str">
        <f>【你的全部獎金】!A13</f>
        <v>鼎山店</v>
      </c>
      <c r="C12" s="156" t="str">
        <f>【你的全部獎金】!B13</f>
        <v>劉家妘</v>
      </c>
      <c r="D12" s="155" t="str">
        <f>【你的全部獎金】!C13</f>
        <v>白金級</v>
      </c>
      <c r="E12" s="157">
        <f>SUMIF(【你的全部獎金】!$B$7:$B$26,$C12,【你的全部獎金】!$D$7:$D$26)</f>
        <v>2550</v>
      </c>
      <c r="F12" s="158">
        <f t="shared" si="1"/>
        <v>63750</v>
      </c>
      <c r="G12" s="157">
        <f>SUMIF(【你的全部獎金】!$B$7:$B$26,$C12,【你的全部獎金】!$E$7:$E$26)</f>
        <v>900</v>
      </c>
      <c r="H12" s="159">
        <f>SUMIF(【你的全部獎金】!$B$7:$B$26,$C12,【你的全部獎金】!$F$7:$F$26)</f>
        <v>500</v>
      </c>
      <c r="I12" s="160">
        <f>SUMIF(【你的全部獎金】!$B$7:$B$26,$C12,【你的全部獎金】!$G$7:$G$26)</f>
        <v>700</v>
      </c>
      <c r="J12" s="160">
        <f>SUMIF(【你的全部獎金】!$B$7:$B$26,$C12,【你的全部獎金】!$H$7:$H$26)</f>
        <v>1000</v>
      </c>
      <c r="K12" s="161">
        <f t="shared" si="2"/>
        <v>66000</v>
      </c>
      <c r="L12" s="159">
        <f>SUMIF(【你的全部獎金】!$B$7:$B$26,$C12,【你的全部獎金】!$I$7:$I$26)</f>
        <v>0</v>
      </c>
      <c r="M12" s="160">
        <f>SUMIF(【你的全部獎金】!$B$7:$B$26,$C12,【你的全部獎金】!$J$7:$J$26)</f>
        <v>0</v>
      </c>
      <c r="N12" s="162">
        <f t="shared" si="3"/>
        <v>0</v>
      </c>
      <c r="O12" s="163">
        <f t="shared" si="4"/>
        <v>129750</v>
      </c>
      <c r="P12" s="164">
        <f t="shared" si="5"/>
        <v>0.99807692307692308</v>
      </c>
      <c r="Q12" s="165">
        <f t="shared" si="6"/>
        <v>5650</v>
      </c>
      <c r="R12" s="166" t="str">
        <f t="shared" ref="R12:R23" si="9">REPT("█",MIN(20,INT(P12*2)))&amp;REPT("░",20-MIN(20,INT(P12*2)))</f>
        <v>█░░░░░░░░░░░░░░░░░░░</v>
      </c>
      <c r="S12" s="167"/>
    </row>
    <row r="13" spans="1:19" ht="24" customHeight="1">
      <c r="A13" s="154">
        <f t="shared" si="8"/>
        <v>12</v>
      </c>
      <c r="B13" s="155" t="str">
        <f>【你的全部獎金】!A22</f>
        <v>鼎山店</v>
      </c>
      <c r="C13" s="156" t="str">
        <f>【你的全部獎金】!B22</f>
        <v>高琦茗</v>
      </c>
      <c r="D13" s="155" t="str">
        <f>【你的全部獎金】!C22</f>
        <v>銅級</v>
      </c>
      <c r="E13" s="157">
        <f>SUMIF(【你的全部獎金】!$B$7:$B$26,$C13,【你的全部獎金】!$D$7:$D$26)</f>
        <v>1500</v>
      </c>
      <c r="F13" s="158">
        <f t="shared" si="1"/>
        <v>37500</v>
      </c>
      <c r="G13" s="157">
        <f>SUMIF(【你的全部獎金】!$B$7:$B$26,$C13,【你的全部獎金】!$E$7:$E$26)</f>
        <v>600</v>
      </c>
      <c r="H13" s="159">
        <f>SUMIF(【你的全部獎金】!$B$7:$B$26,$C13,【你的全部獎金】!$F$7:$F$26)</f>
        <v>900</v>
      </c>
      <c r="I13" s="160">
        <f>SUMIF(【你的全部獎金】!$B$7:$B$26,$C13,【你的全部獎金】!$G$7:$G$26)</f>
        <v>400</v>
      </c>
      <c r="J13" s="160">
        <f>SUMIF(【你的全部獎金】!$B$7:$B$26,$C13,【你的全部獎金】!$H$7:$H$26)</f>
        <v>700</v>
      </c>
      <c r="K13" s="161">
        <f t="shared" si="2"/>
        <v>60000</v>
      </c>
      <c r="L13" s="159">
        <f>SUMIF(【你的全部獎金】!$B$7:$B$26,$C13,【你的全部獎金】!$I$7:$I$26)</f>
        <v>1000</v>
      </c>
      <c r="M13" s="160">
        <f>SUMIF(【你的全部獎金】!$B$7:$B$26,$C13,【你的全部獎金】!$J$7:$J$26)</f>
        <v>0</v>
      </c>
      <c r="N13" s="162">
        <f t="shared" si="3"/>
        <v>10000</v>
      </c>
      <c r="O13" s="163">
        <f t="shared" si="4"/>
        <v>107500</v>
      </c>
      <c r="P13" s="164">
        <f t="shared" si="5"/>
        <v>0.82692307692307687</v>
      </c>
      <c r="Q13" s="165">
        <f t="shared" si="6"/>
        <v>5100</v>
      </c>
      <c r="R13" s="166" t="str">
        <f t="shared" si="9"/>
        <v>█░░░░░░░░░░░░░░░░░░░</v>
      </c>
      <c r="S13" s="167"/>
    </row>
    <row r="14" spans="1:19" ht="24" customHeight="1">
      <c r="A14" s="154">
        <f t="shared" si="8"/>
        <v>2</v>
      </c>
      <c r="B14" s="155" t="str">
        <f>【你的全部獎金】!A8</f>
        <v>陽明店</v>
      </c>
      <c r="C14" s="156" t="str">
        <f>【你的全部獎金】!B8</f>
        <v>邱雨蔚</v>
      </c>
      <c r="D14" s="155" t="str">
        <f>【你的全部獎金】!C8</f>
        <v>銀級</v>
      </c>
      <c r="E14" s="157">
        <f>SUMIF(【你的全部獎金】!$B$7:$B$26,$C14,【你的全部獎金】!$D$7:$D$26)</f>
        <v>4700</v>
      </c>
      <c r="F14" s="158">
        <f t="shared" si="1"/>
        <v>117500</v>
      </c>
      <c r="G14" s="157">
        <f>SUMIF(【你的全部獎金】!$B$7:$B$26,$C14,【你的全部獎金】!$E$7:$E$26)</f>
        <v>1200</v>
      </c>
      <c r="H14" s="159">
        <f>SUMIF(【你的全部獎金】!$B$7:$B$26,$C14,【你的全部獎金】!$F$7:$F$26)</f>
        <v>1300</v>
      </c>
      <c r="I14" s="160">
        <f>SUMIF(【你的全部獎金】!$B$7:$B$26,$C14,【你的全部獎金】!$G$7:$G$26)</f>
        <v>800</v>
      </c>
      <c r="J14" s="160">
        <f>SUMIF(【你的全部獎金】!$B$7:$B$26,$C14,【你的全部獎金】!$H$7:$H$26)</f>
        <v>500</v>
      </c>
      <c r="K14" s="161">
        <f t="shared" si="2"/>
        <v>78000</v>
      </c>
      <c r="L14" s="159">
        <f>SUMIF(【你的全部獎金】!$B$7:$B$26,$C14,【你的全部獎金】!$I$7:$I$26)</f>
        <v>500</v>
      </c>
      <c r="M14" s="160">
        <f>SUMIF(【你的全部獎金】!$B$7:$B$26,$C14,【你的全部獎金】!$J$7:$J$26)</f>
        <v>0</v>
      </c>
      <c r="N14" s="162">
        <f t="shared" si="3"/>
        <v>5000</v>
      </c>
      <c r="O14" s="163">
        <f t="shared" si="4"/>
        <v>200500</v>
      </c>
      <c r="P14" s="164">
        <f t="shared" si="5"/>
        <v>1.5423076923076924</v>
      </c>
      <c r="Q14" s="165">
        <f t="shared" si="6"/>
        <v>9000</v>
      </c>
      <c r="R14" s="166" t="str">
        <f t="shared" si="9"/>
        <v>███░░░░░░░░░░░░░░░░░</v>
      </c>
      <c r="S14" s="167"/>
    </row>
    <row r="15" spans="1:19" ht="24" customHeight="1">
      <c r="A15" s="154">
        <f t="shared" si="8"/>
        <v>13</v>
      </c>
      <c r="B15" s="155" t="str">
        <f>【你的全部獎金】!A19</f>
        <v>仁雄店</v>
      </c>
      <c r="C15" s="156" t="str">
        <f>【你的全部獎金】!B19</f>
        <v>蔡冠廷</v>
      </c>
      <c r="D15" s="155" t="str">
        <f>【你的全部獎金】!C19</f>
        <v>石頭</v>
      </c>
      <c r="E15" s="157">
        <f>SUMIF(【你的全部獎金】!$B$7:$B$26,$C15,【你的全部獎金】!$D$7:$D$26)</f>
        <v>1200</v>
      </c>
      <c r="F15" s="158">
        <f t="shared" si="1"/>
        <v>30000</v>
      </c>
      <c r="G15" s="157">
        <f>SUMIF(【你的全部獎金】!$B$7:$B$26,$C15,【你的全部獎金】!$E$7:$E$26)</f>
        <v>300</v>
      </c>
      <c r="H15" s="159">
        <f>SUMIF(【你的全部獎金】!$B$7:$B$26,$C15,【你的全部獎金】!$F$7:$F$26)</f>
        <v>800</v>
      </c>
      <c r="I15" s="160">
        <f>SUMIF(【你的全部獎金】!$B$7:$B$26,$C15,【你的全部獎金】!$G$7:$G$26)</f>
        <v>700</v>
      </c>
      <c r="J15" s="160">
        <f>SUMIF(【你的全部獎金】!$B$7:$B$26,$C15,【你的全部獎金】!$H$7:$H$26)</f>
        <v>700</v>
      </c>
      <c r="K15" s="161">
        <f t="shared" si="2"/>
        <v>66000</v>
      </c>
      <c r="L15" s="159">
        <f>SUMIF(【你的全部獎金】!$B$7:$B$26,$C15,【你的全部獎金】!$I$7:$I$26)</f>
        <v>0</v>
      </c>
      <c r="M15" s="160">
        <f>SUMIF(【你的全部獎金】!$B$7:$B$26,$C15,【你的全部獎金】!$J$7:$J$26)</f>
        <v>0</v>
      </c>
      <c r="N15" s="162">
        <f t="shared" si="3"/>
        <v>0</v>
      </c>
      <c r="O15" s="163">
        <f t="shared" si="4"/>
        <v>96000</v>
      </c>
      <c r="P15" s="164">
        <f t="shared" si="5"/>
        <v>0.7384615384615385</v>
      </c>
      <c r="Q15" s="165">
        <f t="shared" si="6"/>
        <v>3700</v>
      </c>
      <c r="R15" s="166" t="str">
        <f t="shared" si="9"/>
        <v>█░░░░░░░░░░░░░░░░░░░</v>
      </c>
      <c r="S15" s="167"/>
    </row>
    <row r="16" spans="1:19" ht="24" customHeight="1">
      <c r="A16" s="154">
        <f t="shared" si="8"/>
        <v>4</v>
      </c>
      <c r="B16" s="155" t="str">
        <f>【你的全部獎金】!A9</f>
        <v>區督導</v>
      </c>
      <c r="C16" s="156" t="str">
        <f>【你的全部獎金】!B9</f>
        <v>黃庭鈞</v>
      </c>
      <c r="D16" s="155" t="str">
        <f>【你的全部獎金】!C9</f>
        <v>黃金級</v>
      </c>
      <c r="E16" s="157">
        <f>SUMIF(【你的全部獎金】!$B$7:$B$26,$C16,【你的全部獎金】!$D$7:$D$26)</f>
        <v>1650</v>
      </c>
      <c r="F16" s="158">
        <f t="shared" si="1"/>
        <v>41250</v>
      </c>
      <c r="G16" s="157">
        <f>SUMIF(【你的全部獎金】!$B$7:$B$26,$C16,【你的全部獎金】!$E$7:$E$26)</f>
        <v>300</v>
      </c>
      <c r="H16" s="159">
        <f>SUMIF(【你的全部獎金】!$B$7:$B$26,$C16,【你的全部獎金】!$F$7:$F$26)</f>
        <v>1200</v>
      </c>
      <c r="I16" s="160">
        <f>SUMIF(【你的全部獎金】!$B$7:$B$26,$C16,【你的全部獎金】!$G$7:$G$26)</f>
        <v>800</v>
      </c>
      <c r="J16" s="160">
        <f>SUMIF(【你的全部獎金】!$B$7:$B$26,$C16,【你的全部獎金】!$H$7:$H$26)</f>
        <v>1400</v>
      </c>
      <c r="K16" s="161">
        <f t="shared" si="2"/>
        <v>102000</v>
      </c>
      <c r="L16" s="159">
        <f>SUMIF(【你的全部獎金】!$B$7:$B$26,$C16,【你的全部獎金】!$I$7:$I$26)</f>
        <v>2125</v>
      </c>
      <c r="M16" s="160">
        <f>SUMIF(【你的全部獎金】!$B$7:$B$26,$C16,【你的全部獎金】!$J$7:$J$26)</f>
        <v>500</v>
      </c>
      <c r="N16" s="162">
        <f t="shared" si="3"/>
        <v>26250</v>
      </c>
      <c r="O16" s="163">
        <f t="shared" si="4"/>
        <v>169500</v>
      </c>
      <c r="P16" s="164">
        <f t="shared" si="5"/>
        <v>1.3038461538461539</v>
      </c>
      <c r="Q16" s="165">
        <f t="shared" si="6"/>
        <v>7475</v>
      </c>
      <c r="R16" s="166" t="str">
        <f t="shared" si="9"/>
        <v>██░░░░░░░░░░░░░░░░░░</v>
      </c>
      <c r="S16" s="167"/>
    </row>
    <row r="17" spans="1:19" ht="24" customHeight="1">
      <c r="A17" s="154">
        <f t="shared" si="8"/>
        <v>7</v>
      </c>
      <c r="B17" s="155" t="str">
        <f>【你的全部獎金】!A15</f>
        <v>後昌店</v>
      </c>
      <c r="C17" s="156" t="str">
        <f>【你的全部獎金】!B15</f>
        <v>郭家維</v>
      </c>
      <c r="D17" s="155" t="str">
        <f>【你的全部獎金】!C15</f>
        <v>銅級</v>
      </c>
      <c r="E17" s="157">
        <f>SUMIF(【你的全部獎金】!$B$7:$B$26,$C17,【你的全部獎金】!$D$7:$D$26)</f>
        <v>1550</v>
      </c>
      <c r="F17" s="158">
        <f t="shared" si="1"/>
        <v>38750</v>
      </c>
      <c r="G17" s="157">
        <f>SUMIF(【你的全部獎金】!$B$7:$B$26,$C17,【你的全部獎金】!$E$7:$E$26)</f>
        <v>300</v>
      </c>
      <c r="H17" s="159">
        <f>SUMIF(【你的全部獎金】!$B$7:$B$26,$C17,【你的全部獎金】!$F$7:$F$26)</f>
        <v>1300</v>
      </c>
      <c r="I17" s="160">
        <f>SUMIF(【你的全部獎金】!$B$7:$B$26,$C17,【你的全部獎金】!$G$7:$G$26)</f>
        <v>800</v>
      </c>
      <c r="J17" s="160">
        <f>SUMIF(【你的全部獎金】!$B$7:$B$26,$C17,【你的全部獎金】!$H$7:$H$26)</f>
        <v>1000</v>
      </c>
      <c r="K17" s="161">
        <f t="shared" si="2"/>
        <v>93000</v>
      </c>
      <c r="L17" s="159">
        <f>SUMIF(【你的全部獎金】!$B$7:$B$26,$C17,【你的全部獎金】!$I$7:$I$26)</f>
        <v>1375</v>
      </c>
      <c r="M17" s="160">
        <f>SUMIF(【你的全部獎金】!$B$7:$B$26,$C17,【你的全部獎金】!$J$7:$J$26)</f>
        <v>0</v>
      </c>
      <c r="N17" s="162">
        <f t="shared" si="3"/>
        <v>13750</v>
      </c>
      <c r="O17" s="163">
        <f t="shared" si="4"/>
        <v>145500</v>
      </c>
      <c r="P17" s="164">
        <f t="shared" si="5"/>
        <v>1.1192307692307693</v>
      </c>
      <c r="Q17" s="165">
        <f t="shared" si="6"/>
        <v>6325</v>
      </c>
      <c r="R17" s="166" t="str">
        <f t="shared" si="9"/>
        <v>██░░░░░░░░░░░░░░░░░░</v>
      </c>
      <c r="S17" s="167"/>
    </row>
    <row r="18" spans="1:19" ht="24" customHeight="1">
      <c r="A18" s="154">
        <f t="shared" si="8"/>
        <v>11</v>
      </c>
      <c r="B18" s="155" t="str">
        <f>【你的全部獎金】!A11</f>
        <v>後昌店</v>
      </c>
      <c r="C18" s="156" t="str">
        <f>【你的全部獎金】!B11</f>
        <v>黃閔聖</v>
      </c>
      <c r="D18" s="155" t="str">
        <f>【你的全部獎金】!C11</f>
        <v>銀級</v>
      </c>
      <c r="E18" s="157">
        <f>SUMIF(【你的全部獎金】!$B$7:$B$26,$C18,【你的全部獎金】!$D$7:$D$26)</f>
        <v>1200</v>
      </c>
      <c r="F18" s="158">
        <f t="shared" si="1"/>
        <v>30000</v>
      </c>
      <c r="G18" s="157">
        <f>SUMIF(【你的全部獎金】!$B$7:$B$26,$C18,【你的全部獎金】!$E$7:$E$26)</f>
        <v>0</v>
      </c>
      <c r="H18" s="159">
        <f>SUMIF(【你的全部獎金】!$B$7:$B$26,$C18,【你的全部獎金】!$F$7:$F$26)</f>
        <v>1000</v>
      </c>
      <c r="I18" s="160">
        <f>SUMIF(【你的全部獎金】!$B$7:$B$26,$C18,【你的全部獎金】!$G$7:$G$26)</f>
        <v>600</v>
      </c>
      <c r="J18" s="160">
        <f>SUMIF(【你的全部獎金】!$B$7:$B$26,$C18,【你的全部獎金】!$H$7:$H$26)</f>
        <v>1000</v>
      </c>
      <c r="K18" s="161">
        <f t="shared" si="2"/>
        <v>78000</v>
      </c>
      <c r="L18" s="159">
        <f>SUMIF(【你的全部獎金】!$B$7:$B$26,$C18,【你的全部獎金】!$I$7:$I$26)</f>
        <v>750</v>
      </c>
      <c r="M18" s="160">
        <f>SUMIF(【你的全部獎金】!$B$7:$B$26,$C18,【你的全部獎金】!$J$7:$J$26)</f>
        <v>0</v>
      </c>
      <c r="N18" s="162">
        <f t="shared" si="3"/>
        <v>7500</v>
      </c>
      <c r="O18" s="163">
        <f t="shared" si="4"/>
        <v>115500</v>
      </c>
      <c r="P18" s="164">
        <f t="shared" si="5"/>
        <v>0.88846153846153841</v>
      </c>
      <c r="Q18" s="165">
        <f t="shared" si="6"/>
        <v>4550</v>
      </c>
      <c r="R18" s="166" t="str">
        <f t="shared" si="9"/>
        <v>█░░░░░░░░░░░░░░░░░░░</v>
      </c>
      <c r="S18" s="167"/>
    </row>
    <row r="19" spans="1:19" ht="24" customHeight="1">
      <c r="A19" s="154">
        <f t="shared" si="8"/>
        <v>17</v>
      </c>
      <c r="B19" s="155" t="str">
        <f>【你的全部獎金】!A24</f>
        <v>後昌店</v>
      </c>
      <c r="C19" s="156" t="str">
        <f>【你的全部獎金】!B24</f>
        <v>秦曼芯</v>
      </c>
      <c r="D19" s="155" t="str">
        <f>【你的全部獎金】!C24</f>
        <v>石頭</v>
      </c>
      <c r="E19" s="157">
        <f>SUMIF(【你的全部獎金】!$B$7:$B$26,$C19,【你的全部獎金】!$D$7:$D$26)</f>
        <v>1500</v>
      </c>
      <c r="F19" s="158">
        <f t="shared" si="1"/>
        <v>37500</v>
      </c>
      <c r="G19" s="157">
        <f>SUMIF(【你的全部獎金】!$B$7:$B$26,$C19,【你的全部獎金】!$E$7:$E$26)</f>
        <v>300</v>
      </c>
      <c r="H19" s="159">
        <f>SUMIF(【你的全部獎金】!$B$7:$B$26,$C19,【你的全部獎金】!$F$7:$F$26)</f>
        <v>500</v>
      </c>
      <c r="I19" s="160">
        <f>SUMIF(【你的全部獎金】!$B$7:$B$26,$C19,【你的全部獎金】!$G$7:$G$26)</f>
        <v>400</v>
      </c>
      <c r="J19" s="160">
        <f>SUMIF(【你的全部獎金】!$B$7:$B$26,$C19,【你的全部獎金】!$H$7:$H$26)</f>
        <v>600</v>
      </c>
      <c r="K19" s="161">
        <f t="shared" si="2"/>
        <v>45000</v>
      </c>
      <c r="L19" s="159">
        <f>SUMIF(【你的全部獎金】!$B$7:$B$26,$C19,【你的全部獎金】!$I$7:$I$26)</f>
        <v>0</v>
      </c>
      <c r="M19" s="160">
        <f>SUMIF(【你的全部獎金】!$B$7:$B$26,$C19,【你的全部獎金】!$J$7:$J$26)</f>
        <v>0</v>
      </c>
      <c r="N19" s="162">
        <f t="shared" si="3"/>
        <v>0</v>
      </c>
      <c r="O19" s="163">
        <f t="shared" si="4"/>
        <v>82500</v>
      </c>
      <c r="P19" s="164">
        <f t="shared" si="5"/>
        <v>0.63461538461538458</v>
      </c>
      <c r="Q19" s="165">
        <f t="shared" si="6"/>
        <v>3300</v>
      </c>
      <c r="R19" s="166" t="str">
        <f t="shared" si="9"/>
        <v>█░░░░░░░░░░░░░░░░░░░</v>
      </c>
      <c r="S19" s="167"/>
    </row>
    <row r="20" spans="1:19" ht="24" customHeight="1">
      <c r="A20" s="154">
        <f t="shared" si="8"/>
        <v>8</v>
      </c>
      <c r="B20" s="155" t="str">
        <f>【你的全部獎金】!A17</f>
        <v>鼎山店</v>
      </c>
      <c r="C20" s="156" t="str">
        <f>【你的全部獎金】!B17</f>
        <v>彥州</v>
      </c>
      <c r="D20" s="155" t="str">
        <f>【你的全部獎金】!C17</f>
        <v>石頭</v>
      </c>
      <c r="E20" s="157">
        <f>SUMIF(【你的全部獎金】!$B$7:$B$26,$C20,【你的全部獎金】!$D$7:$D$26)</f>
        <v>3450</v>
      </c>
      <c r="F20" s="158">
        <f t="shared" si="1"/>
        <v>86250</v>
      </c>
      <c r="G20" s="157">
        <f>SUMIF(【你的全部獎金】!$B$7:$B$26,$C20,【你的全部獎金】!$E$7:$E$26)</f>
        <v>900</v>
      </c>
      <c r="H20" s="159">
        <f>SUMIF(【你的全部獎金】!$B$7:$B$26,$C20,【你的全部獎金】!$F$7:$F$26)</f>
        <v>500</v>
      </c>
      <c r="I20" s="160">
        <f>SUMIF(【你的全部獎金】!$B$7:$B$26,$C20,【你的全部獎金】!$G$7:$G$26)</f>
        <v>300</v>
      </c>
      <c r="J20" s="160">
        <f>SUMIF(【你的全部獎金】!$B$7:$B$26,$C20,【你的全部獎金】!$H$7:$H$26)</f>
        <v>900</v>
      </c>
      <c r="K20" s="161">
        <f t="shared" si="2"/>
        <v>51000</v>
      </c>
      <c r="L20" s="159">
        <f>SUMIF(【你的全部獎金】!$B$7:$B$26,$C20,【你的全部獎金】!$I$7:$I$26)</f>
        <v>0</v>
      </c>
      <c r="M20" s="160">
        <f>SUMIF(【你的全部獎金】!$B$7:$B$26,$C20,【你的全部獎金】!$J$7:$J$26)</f>
        <v>500</v>
      </c>
      <c r="N20" s="162">
        <f t="shared" si="3"/>
        <v>5000</v>
      </c>
      <c r="O20" s="163">
        <f t="shared" si="4"/>
        <v>142250</v>
      </c>
      <c r="P20" s="164">
        <f t="shared" si="5"/>
        <v>1.0942307692307693</v>
      </c>
      <c r="Q20" s="165">
        <f t="shared" si="6"/>
        <v>6050</v>
      </c>
      <c r="R20" s="166" t="str">
        <f t="shared" si="9"/>
        <v>██░░░░░░░░░░░░░░░░░░</v>
      </c>
      <c r="S20" s="167"/>
    </row>
    <row r="21" spans="1:19" ht="24" customHeight="1">
      <c r="A21" s="154">
        <f t="shared" si="8"/>
        <v>16</v>
      </c>
      <c r="B21" s="155" t="str">
        <f>【你的全部獎金】!A20</f>
        <v>陽明店</v>
      </c>
      <c r="C21" s="156" t="str">
        <f>【你的全部獎金】!B20</f>
        <v>林庭逸</v>
      </c>
      <c r="D21" s="155" t="str">
        <f>【你的全部獎金】!C20</f>
        <v>石頭</v>
      </c>
      <c r="E21" s="157">
        <f>SUMIF(【你的全部獎金】!$B$7:$B$26,$C21,【你的全部獎金】!$D$7:$D$26)</f>
        <v>1200</v>
      </c>
      <c r="F21" s="158">
        <f t="shared" si="1"/>
        <v>30000</v>
      </c>
      <c r="G21" s="157">
        <f>SUMIF(【你的全部獎金】!$B$7:$B$26,$C21,【你的全部獎金】!$E$7:$E$26)</f>
        <v>300</v>
      </c>
      <c r="H21" s="159">
        <f>SUMIF(【你的全部獎金】!$B$7:$B$26,$C21,【你的全部獎金】!$F$7:$F$26)</f>
        <v>800</v>
      </c>
      <c r="I21" s="160">
        <f>SUMIF(【你的全部獎金】!$B$7:$B$26,$C21,【你的全部獎金】!$G$7:$G$26)</f>
        <v>300</v>
      </c>
      <c r="J21" s="160">
        <f>SUMIF(【你的全部獎金】!$B$7:$B$26,$C21,【你的全部獎金】!$H$7:$H$26)</f>
        <v>500</v>
      </c>
      <c r="K21" s="161">
        <f t="shared" si="2"/>
        <v>48000</v>
      </c>
      <c r="L21" s="159">
        <f>SUMIF(【你的全部獎金】!$B$7:$B$26,$C21,【你的全部獎金】!$I$7:$I$26)</f>
        <v>750</v>
      </c>
      <c r="M21" s="160">
        <f>SUMIF(【你的全部獎金】!$B$7:$B$26,$C21,【你的全部獎金】!$J$7:$J$26)</f>
        <v>0</v>
      </c>
      <c r="N21" s="162">
        <f t="shared" si="3"/>
        <v>7500</v>
      </c>
      <c r="O21" s="163">
        <f t="shared" si="4"/>
        <v>85500</v>
      </c>
      <c r="P21" s="164">
        <f t="shared" si="5"/>
        <v>0.65769230769230769</v>
      </c>
      <c r="Q21" s="165">
        <f t="shared" si="6"/>
        <v>3850</v>
      </c>
      <c r="R21" s="166" t="str">
        <f t="shared" si="9"/>
        <v>█░░░░░░░░░░░░░░░░░░░</v>
      </c>
      <c r="S21" s="167"/>
    </row>
    <row r="22" spans="1:19" ht="24" customHeight="1">
      <c r="A22" s="154">
        <f t="shared" si="8"/>
        <v>1</v>
      </c>
      <c r="B22" s="155" t="str">
        <f>【你的全部獎金】!A7</f>
        <v>仁雄店</v>
      </c>
      <c r="C22" s="156" t="str">
        <f>【你的全部獎金】!B7</f>
        <v>黃傑稜</v>
      </c>
      <c r="D22" s="155" t="str">
        <f>【你的全部獎金】!C7</f>
        <v>白金級</v>
      </c>
      <c r="E22" s="157">
        <f>SUMIF(【你的全部獎金】!$B$7:$B$26,$C22,【你的全部獎金】!$D$7:$D$26)</f>
        <v>3550</v>
      </c>
      <c r="F22" s="158">
        <f t="shared" si="1"/>
        <v>88750</v>
      </c>
      <c r="G22" s="157">
        <f>SUMIF(【你的全部獎金】!$B$7:$B$26,$C22,【你的全部獎金】!$E$7:$E$26)</f>
        <v>900</v>
      </c>
      <c r="H22" s="159">
        <f>SUMIF(【你的全部獎金】!$B$7:$B$26,$C22,【你的全部獎金】!$F$7:$F$26)</f>
        <v>2000</v>
      </c>
      <c r="I22" s="160">
        <f>SUMIF(【你的全部獎金】!$B$7:$B$26,$C22,【你的全部獎金】!$G$7:$G$26)</f>
        <v>1400</v>
      </c>
      <c r="J22" s="160">
        <f>SUMIF(【你的全部獎金】!$B$7:$B$26,$C22,【你的全部獎金】!$H$7:$H$26)</f>
        <v>800</v>
      </c>
      <c r="K22" s="161">
        <f t="shared" si="2"/>
        <v>126000</v>
      </c>
      <c r="L22" s="159">
        <f>SUMIF(【你的全部獎金】!$B$7:$B$26,$C22,【你的全部獎金】!$I$7:$I$26)</f>
        <v>625</v>
      </c>
      <c r="M22" s="160">
        <f>SUMIF(【你的全部獎金】!$B$7:$B$26,$C22,【你的全部獎金】!$J$7:$J$26)</f>
        <v>0</v>
      </c>
      <c r="N22" s="162">
        <f t="shared" si="3"/>
        <v>6250</v>
      </c>
      <c r="O22" s="163">
        <f t="shared" si="4"/>
        <v>221000</v>
      </c>
      <c r="P22" s="164">
        <f t="shared" si="5"/>
        <v>1.7</v>
      </c>
      <c r="Q22" s="165">
        <f t="shared" si="6"/>
        <v>9275</v>
      </c>
      <c r="R22" s="166" t="str">
        <f t="shared" si="9"/>
        <v>███░░░░░░░░░░░░░░░░░</v>
      </c>
      <c r="S22" s="167"/>
    </row>
    <row r="23" spans="1:19" ht="24" customHeight="1">
      <c r="A23" s="154">
        <f t="shared" si="8"/>
        <v>15</v>
      </c>
      <c r="B23" s="155" t="str">
        <f>【你的全部獎金】!A16</f>
        <v>仁雄店</v>
      </c>
      <c r="C23" s="156" t="str">
        <f>【你的全部獎金】!B16</f>
        <v>石佳穎</v>
      </c>
      <c r="D23" s="155" t="str">
        <f>【你的全部獎金】!C16</f>
        <v>銀級</v>
      </c>
      <c r="E23" s="168">
        <f>SUMIF(【你的全部獎金】!$B$7:$B$26,$C23,【你的全部獎金】!$D$7:$D$26)</f>
        <v>1450</v>
      </c>
      <c r="F23" s="158">
        <f t="shared" si="1"/>
        <v>36250</v>
      </c>
      <c r="G23" s="168">
        <f>SUMIF(【你的全部獎金】!$B$7:$B$26,$C23,【你的全部獎金】!$E$7:$E$26)</f>
        <v>300</v>
      </c>
      <c r="H23" s="160">
        <f>SUMIF(【你的全部獎金】!$B$7:$B$26,$C23,【你的全部獎金】!$F$7:$F$26)</f>
        <v>700</v>
      </c>
      <c r="I23" s="160">
        <f>SUMIF(【你的全部獎金】!$B$7:$B$26,$C23,【你的全部獎金】!$G$7:$G$26)</f>
        <v>700</v>
      </c>
      <c r="J23" s="160">
        <f>SUMIF(【你的全部獎金】!$B$7:$B$26,$C23,【你的全部獎金】!$H$7:$H$26)</f>
        <v>500</v>
      </c>
      <c r="K23" s="508">
        <f t="shared" si="2"/>
        <v>57000</v>
      </c>
      <c r="L23" s="160">
        <f>SUMIF(【你的全部獎金】!$B$7:$B$26,$C23,【你的全部獎金】!$I$7:$I$26)</f>
        <v>0</v>
      </c>
      <c r="M23" s="160">
        <f>SUMIF(【你的全部獎金】!$B$7:$B$26,$C23,【你的全部獎金】!$J$7:$J$26)</f>
        <v>0</v>
      </c>
      <c r="N23" s="509">
        <f t="shared" si="3"/>
        <v>0</v>
      </c>
      <c r="O23" s="510">
        <f t="shared" si="4"/>
        <v>93250</v>
      </c>
      <c r="P23" s="511">
        <f t="shared" si="5"/>
        <v>0.71730769230769231</v>
      </c>
      <c r="Q23" s="165">
        <f t="shared" si="6"/>
        <v>3650</v>
      </c>
      <c r="R23" s="166" t="str">
        <f t="shared" si="9"/>
        <v>█░░░░░░░░░░░░░░░░░░░</v>
      </c>
      <c r="S23" s="167"/>
    </row>
    <row r="24" spans="1:19" ht="24" customHeight="1">
      <c r="A24" s="154"/>
      <c r="B24" s="155"/>
      <c r="C24" s="156"/>
      <c r="D24" s="155"/>
      <c r="E24" s="168"/>
      <c r="F24" s="169"/>
      <c r="G24" s="168"/>
      <c r="H24" s="168"/>
      <c r="I24" s="168"/>
      <c r="J24" s="168"/>
      <c r="K24" s="479"/>
      <c r="L24" s="168"/>
      <c r="M24" s="168"/>
      <c r="N24" s="168"/>
      <c r="O24" s="156"/>
      <c r="P24" s="481"/>
      <c r="Q24" s="478"/>
      <c r="R24" s="166"/>
      <c r="S24" s="167"/>
    </row>
    <row r="25" spans="1:19" ht="24" customHeight="1">
      <c r="A25" s="170"/>
      <c r="B25" s="171" t="s">
        <v>134</v>
      </c>
      <c r="C25" s="170"/>
      <c r="D25" s="170"/>
      <c r="E25" s="172">
        <f>SUM(E5:E23)</f>
        <v>37100</v>
      </c>
      <c r="F25" s="172">
        <f>SUM(F5:F23)</f>
        <v>927500</v>
      </c>
      <c r="G25" s="172">
        <f>SUM(G5:G23)</f>
        <v>9000</v>
      </c>
      <c r="H25" s="172">
        <f>SUM(H5:H23)</f>
        <v>19200</v>
      </c>
      <c r="I25" s="172"/>
      <c r="J25" s="172"/>
      <c r="K25" s="172">
        <f>SUM(K5:K23)</f>
        <v>1368000</v>
      </c>
      <c r="L25" s="172">
        <f>SUM(L5:L23)</f>
        <v>13375</v>
      </c>
      <c r="M25" s="172"/>
      <c r="N25" s="480">
        <f>SUM(N5:N23)</f>
        <v>143750</v>
      </c>
      <c r="O25" s="480">
        <f>SUM(O5:O23)</f>
        <v>2439250</v>
      </c>
      <c r="P25" s="482"/>
      <c r="Q25" s="483">
        <f>SUM(Q$5:Q$23)</f>
        <v>105075</v>
      </c>
      <c r="R25" s="170"/>
      <c r="S25" s="167"/>
    </row>
    <row r="26" spans="1:19" ht="27.75" customHeight="1"/>
  </sheetData>
  <autoFilter ref="A4:R4" xr:uid="{00000000-0009-0000-0000-000002000000}">
    <sortState xmlns:xlrd2="http://schemas.microsoft.com/office/spreadsheetml/2017/richdata2" ref="A5:R23">
      <sortCondition descending="1" ref="B4"/>
    </sortState>
  </autoFilter>
  <mergeCells count="7">
    <mergeCell ref="A1:R1"/>
    <mergeCell ref="A2:R2"/>
    <mergeCell ref="A3:D3"/>
    <mergeCell ref="E3:F3"/>
    <mergeCell ref="H3:K3"/>
    <mergeCell ref="L3:N3"/>
    <mergeCell ref="O3:R3"/>
  </mergeCells>
  <phoneticPr fontId="1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D5B5"/>
  </sheetPr>
  <dimension ref="A1:R59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17" sqref="A17"/>
      <selection pane="bottomRight" activeCell="E21" sqref="E21"/>
    </sheetView>
  </sheetViews>
  <sheetFormatPr defaultColWidth="9.140625" defaultRowHeight="15"/>
  <cols>
    <col min="1" max="1" width="11.140625" style="173" customWidth="1"/>
    <col min="2" max="2" width="23" style="173" customWidth="1"/>
    <col min="3" max="3" width="20.140625" style="173" customWidth="1"/>
    <col min="4" max="4" width="15.5703125" style="173" customWidth="1"/>
    <col min="5" max="5" width="16.85546875" style="173" customWidth="1"/>
    <col min="6" max="6" width="21.140625" style="173" customWidth="1"/>
    <col min="7" max="7" width="27.42578125" style="173" customWidth="1"/>
    <col min="8" max="8" width="21.140625" style="173" customWidth="1"/>
    <col min="9" max="9" width="3.140625" style="173" customWidth="1"/>
    <col min="10" max="10" width="9.140625" style="173"/>
    <col min="11" max="11" width="21" style="174" customWidth="1"/>
    <col min="12" max="12" width="12.7109375" style="174" customWidth="1"/>
    <col min="13" max="13" width="15.42578125" style="175" customWidth="1"/>
    <col min="14" max="14" width="12.7109375" style="174" customWidth="1"/>
    <col min="15" max="15" width="12.5703125" style="174" customWidth="1"/>
    <col min="16" max="16" width="12.5703125" style="176" customWidth="1"/>
    <col min="17" max="17" width="9.140625" style="176"/>
    <col min="18" max="18" width="13" style="173" customWidth="1"/>
    <col min="19" max="16384" width="9.140625" style="173"/>
  </cols>
  <sheetData>
    <row r="1" spans="1:18" ht="30.75" customHeight="1">
      <c r="A1" s="532" t="s">
        <v>135</v>
      </c>
      <c r="B1" s="532"/>
      <c r="C1" s="532"/>
      <c r="D1" s="532"/>
      <c r="E1" s="532"/>
      <c r="F1" s="532"/>
      <c r="G1" s="532"/>
      <c r="H1" s="532"/>
    </row>
    <row r="2" spans="1:18" ht="27" customHeight="1">
      <c r="A2" s="177" t="s">
        <v>136</v>
      </c>
      <c r="B2" s="178">
        <v>46264</v>
      </c>
      <c r="C2" s="178">
        <f ca="1">TODAY()</f>
        <v>46291</v>
      </c>
    </row>
    <row r="3" spans="1:18" s="182" customFormat="1" ht="33.75" customHeight="1">
      <c r="A3" s="179" t="s">
        <v>137</v>
      </c>
      <c r="B3" s="179" t="s">
        <v>7</v>
      </c>
      <c r="C3" s="179" t="s">
        <v>73</v>
      </c>
      <c r="D3" s="180" t="s">
        <v>138</v>
      </c>
      <c r="E3" s="180" t="s">
        <v>139</v>
      </c>
      <c r="F3" s="180" t="s">
        <v>140</v>
      </c>
      <c r="G3" s="180" t="s">
        <v>141</v>
      </c>
      <c r="H3" s="181" t="s">
        <v>142</v>
      </c>
      <c r="J3" s="183"/>
      <c r="K3" s="533" t="s">
        <v>143</v>
      </c>
      <c r="L3" s="533"/>
      <c r="M3" s="533"/>
      <c r="N3" s="533"/>
      <c r="O3" s="533"/>
      <c r="P3" s="533"/>
    </row>
    <row r="4" spans="1:18" s="190" customFormat="1" ht="21.75" customHeight="1">
      <c r="A4" s="184" t="s">
        <v>17</v>
      </c>
      <c r="B4" s="185" t="s">
        <v>96</v>
      </c>
      <c r="C4" s="185" t="s">
        <v>91</v>
      </c>
      <c r="D4" s="186">
        <f ca="1">H4*20</f>
        <v>310026.81333333335</v>
      </c>
      <c r="E4" s="187">
        <v>100000</v>
      </c>
      <c r="F4" s="188">
        <f>SUMIF(數據!$A:$A,$B4,數據!$B:$B)</f>
        <v>112520.11000000002</v>
      </c>
      <c r="G4" s="188">
        <f ca="1">(F4/((DATEDIF($B$2,$C$2,"d")))*30)</f>
        <v>125022.34444444446</v>
      </c>
      <c r="H4" s="189">
        <f ca="1">IFERROR(IF(G4&gt;=80000,G4*VLOOKUP(G4,$K$17:$P$29,IF(OR(C4="黃金級",C4="金級",C4="白金級"),2,IF(C4="銀級",4,IF(C4="銅級",5,IF(OR(C4="石頭",C4="石頭級"),6,0)))),TRUE()),0),0)+IF(G4&gt;=E4,5000,0)+IF(G4&gt;=120000,3000,0)+IF(G4&gt;=140000,3000,0)+IF(G4&gt;=160000,3000,0)+IF(G4&gt;=180000,3000,0)+IF(G4&gt;=200000,3000,0)</f>
        <v>15501.340666666667</v>
      </c>
      <c r="J4" s="191"/>
      <c r="K4" s="192" t="s">
        <v>73</v>
      </c>
      <c r="L4" s="192" t="s">
        <v>144</v>
      </c>
      <c r="M4" s="192" t="s">
        <v>145</v>
      </c>
      <c r="N4" s="193" t="s">
        <v>146</v>
      </c>
      <c r="O4" s="193" t="s">
        <v>147</v>
      </c>
      <c r="P4" s="193" t="s">
        <v>148</v>
      </c>
      <c r="R4" s="194"/>
    </row>
    <row r="5" spans="1:18" s="190" customFormat="1" ht="21.75" customHeight="1">
      <c r="A5" s="184" t="s">
        <v>17</v>
      </c>
      <c r="B5" s="185" t="s">
        <v>108</v>
      </c>
      <c r="C5" s="185" t="s">
        <v>89</v>
      </c>
      <c r="D5" s="186">
        <f ca="1">H5*20</f>
        <v>207489.3</v>
      </c>
      <c r="E5" s="187">
        <v>90000</v>
      </c>
      <c r="F5" s="188">
        <f>SUMIF(數據!$A:$A,$B5,數據!$B:$B)</f>
        <v>107489.29999999999</v>
      </c>
      <c r="G5" s="188">
        <f ca="1">(F5/((DATEDIF($B$2,$C$2,"d")))*30)</f>
        <v>119432.55555555555</v>
      </c>
      <c r="H5" s="189">
        <f ca="1">IFERROR(IF(G5&gt;=80000,G5*VLOOKUP(G5,$K$17:$P$29,IF(OR(C5="黃金級",C5="金級",C5="白金級"),2,IF(C5="銀級",4,IF(C5="銅級",5,IF(OR(C5="石頭",C5="石頭級"),6,0)))),TRUE()),0),0)+IF(G5&gt;=E5,5000,0)+IF(G5&gt;=120000,3000,0)+IF(G5&gt;=140000,3000,0)+IF(G5&gt;=160000,3000,0)+IF(G5&gt;=180000,3000,0)+IF(G5&gt;=200000,3000,0)</f>
        <v>10374.465</v>
      </c>
      <c r="J5" s="191"/>
      <c r="K5" s="195" t="s">
        <v>95</v>
      </c>
      <c r="L5" s="196">
        <v>100000</v>
      </c>
      <c r="M5" s="197">
        <v>5000</v>
      </c>
      <c r="N5" s="197">
        <v>3000</v>
      </c>
      <c r="O5" s="197">
        <v>3000</v>
      </c>
      <c r="P5" s="197">
        <v>3000</v>
      </c>
      <c r="R5" s="194"/>
    </row>
    <row r="6" spans="1:18" s="190" customFormat="1" ht="21.75" customHeight="1">
      <c r="A6" s="184" t="s">
        <v>17</v>
      </c>
      <c r="B6" s="185" t="s">
        <v>101</v>
      </c>
      <c r="C6" s="185" t="s">
        <v>100</v>
      </c>
      <c r="D6" s="186">
        <f ca="1">H6*20</f>
        <v>0</v>
      </c>
      <c r="E6" s="187">
        <v>80000</v>
      </c>
      <c r="F6" s="188">
        <f>SUMIF(數據!$A:$A,$B6,數據!$B:$B)</f>
        <v>63688.2</v>
      </c>
      <c r="G6" s="188">
        <f ca="1">(F6/((DATEDIF($B$2,$C$2,"d")))*30)</f>
        <v>70764.666666666657</v>
      </c>
      <c r="H6" s="189">
        <f ca="1">IFERROR(IF(G6&gt;=80000,G6*VLOOKUP(G6,$K$17:$P$29,IF(OR(C6="黃金級",C6="金級",C6="白金級"),2,IF(C6="銀級",4,IF(C6="銅級",5,IF(OR(C6="石頭",C6="石頭級"),6,0)))),TRUE()),0),0)+IF(G6&gt;=E6,5000,0)+IF(G6&gt;=120000,3000,0)+IF(G6&gt;=140000,3000,0)+IF(G6&gt;=160000,3000,0)+IF(G6&gt;=180000,3000,0)+IF(G6&gt;=200000,3000,0)</f>
        <v>0</v>
      </c>
      <c r="J6" s="191"/>
      <c r="K6" s="195" t="s">
        <v>94</v>
      </c>
      <c r="L6" s="196">
        <v>100000</v>
      </c>
      <c r="M6" s="197">
        <v>5000</v>
      </c>
      <c r="N6" s="197">
        <v>3000</v>
      </c>
      <c r="O6" s="197">
        <v>3000</v>
      </c>
      <c r="P6" s="197">
        <v>3000</v>
      </c>
      <c r="R6" s="194"/>
    </row>
    <row r="7" spans="1:18" s="190" customFormat="1" ht="21.75" customHeight="1">
      <c r="A7" s="184" t="s">
        <v>17</v>
      </c>
      <c r="B7" s="185" t="s">
        <v>106</v>
      </c>
      <c r="C7" s="185" t="s">
        <v>104</v>
      </c>
      <c r="D7" s="186">
        <f ca="1">H7*20</f>
        <v>100000</v>
      </c>
      <c r="E7" s="198">
        <v>70000</v>
      </c>
      <c r="F7" s="188">
        <f>SUMIF(數據!$A:$A,$B7,數據!$B:$B)</f>
        <v>66111.88</v>
      </c>
      <c r="G7" s="188">
        <f ca="1">(F7/((DATEDIF($B$2,$C$2,"d")))*30)</f>
        <v>73457.64444444445</v>
      </c>
      <c r="H7" s="189">
        <f ca="1">IFERROR(IF(G7&gt;=80000,G7*VLOOKUP(G7,$K$17:$P$29,IF(OR(C7="黃金級",C7="金級",C7="白金級"),2,IF(C7="銀級",4,IF(C7="銅級",5,IF(OR(C7="石頭",C7="石頭級"),6,0)))),TRUE()),0),0)+IF(G7&gt;=E7,5000,0)+IF(G7&gt;=120000,3000,0)+IF(G7&gt;=140000,3000,0)+IF(G7&gt;=160000,3000,0)+IF(G7&gt;=180000,3000,0)+IF(G7&gt;=200000,3000,0)</f>
        <v>5000</v>
      </c>
      <c r="J7" s="191"/>
      <c r="K7" s="195" t="s">
        <v>91</v>
      </c>
      <c r="L7" s="196">
        <v>100000</v>
      </c>
      <c r="M7" s="197">
        <v>5000</v>
      </c>
      <c r="N7" s="197">
        <v>3000</v>
      </c>
      <c r="O7" s="197">
        <v>3000</v>
      </c>
      <c r="P7" s="197">
        <v>3000</v>
      </c>
      <c r="R7" s="194"/>
    </row>
    <row r="8" spans="1:18" s="190" customFormat="1" ht="21.75" customHeight="1">
      <c r="A8" s="199" t="s">
        <v>149</v>
      </c>
      <c r="B8" s="199" t="s">
        <v>7</v>
      </c>
      <c r="C8" s="199" t="s">
        <v>134</v>
      </c>
      <c r="D8" s="200">
        <f ca="1">SUM(D4:D7)</f>
        <v>617516.11333333328</v>
      </c>
      <c r="E8" s="201">
        <f>SUM(E4:E7)</f>
        <v>340000</v>
      </c>
      <c r="F8" s="201">
        <f>SUM(F4:F7)</f>
        <v>349809.49</v>
      </c>
      <c r="G8" s="201">
        <f ca="1">SUM(G4:G7)</f>
        <v>388677.2111111111</v>
      </c>
      <c r="H8" s="202">
        <f ca="1">SUM(H4:H7)</f>
        <v>30875.805666666667</v>
      </c>
      <c r="J8" s="191"/>
      <c r="K8" s="195" t="s">
        <v>89</v>
      </c>
      <c r="L8" s="196">
        <v>90000</v>
      </c>
      <c r="M8" s="197">
        <v>5000</v>
      </c>
      <c r="N8" s="197">
        <v>3000</v>
      </c>
      <c r="O8" s="197">
        <v>3000</v>
      </c>
      <c r="P8" s="197">
        <v>3000</v>
      </c>
      <c r="R8" s="194"/>
    </row>
    <row r="9" spans="1:18" s="190" customFormat="1" ht="21.75" customHeight="1">
      <c r="A9" s="203" t="s">
        <v>18</v>
      </c>
      <c r="B9" s="204" t="s">
        <v>97</v>
      </c>
      <c r="C9" s="203" t="s">
        <v>89</v>
      </c>
      <c r="D9" s="186">
        <f ca="1">H9*20</f>
        <v>0</v>
      </c>
      <c r="E9" s="198">
        <v>90000</v>
      </c>
      <c r="F9" s="188">
        <f>SUMIF(數據!$A:$A,$B9,數據!$B:$B)</f>
        <v>71824.600000000006</v>
      </c>
      <c r="G9" s="188">
        <f ca="1">(F9/((DATEDIF($B$2,$C$2,"d")))*30)</f>
        <v>79805.111111111124</v>
      </c>
      <c r="H9" s="189">
        <f ca="1">IFERROR(IF(G9&gt;=80000,G9*VLOOKUP(G9,$K$17:$P$29,IF(OR(C9="黃金級",C9="金級",C9="白金級"),2,IF(C9="銀級",4,IF(C9="銅級",5,IF(OR(C9="石頭",C9="石頭級"),6,0)))),TRUE()),0),0)+IF(G9&gt;=E9,5000,0)+IF(G9&gt;=120000,3000,0)+IF(G9&gt;=140000,3000,0)+IF(G9&gt;=160000,3000,0)+IF(G9&gt;=180000,3000,0)+IF(G9&gt;=200000,3000,0)</f>
        <v>0</v>
      </c>
      <c r="J9" s="191"/>
      <c r="K9" s="195" t="s">
        <v>100</v>
      </c>
      <c r="L9" s="196">
        <v>80000</v>
      </c>
      <c r="M9" s="197">
        <v>5000</v>
      </c>
      <c r="N9" s="197">
        <v>3000</v>
      </c>
      <c r="O9" s="197">
        <v>3000</v>
      </c>
      <c r="P9" s="197">
        <v>3000</v>
      </c>
      <c r="R9" s="194"/>
    </row>
    <row r="10" spans="1:18" s="190" customFormat="1" ht="21.75" customHeight="1">
      <c r="A10" s="203" t="s">
        <v>18</v>
      </c>
      <c r="B10" s="204" t="s">
        <v>98</v>
      </c>
      <c r="C10" s="203" t="s">
        <v>89</v>
      </c>
      <c r="D10" s="186">
        <f ca="1">H10*20</f>
        <v>418678.13333333342</v>
      </c>
      <c r="E10" s="198">
        <v>90000</v>
      </c>
      <c r="F10" s="188">
        <f>SUMIF(數據!$A:$A,$B10,數據!$B:$B)</f>
        <v>137546.4</v>
      </c>
      <c r="G10" s="188">
        <f ca="1">(F10/((DATEDIF($B$2,$C$2,"d")))*30)</f>
        <v>152829.33333333334</v>
      </c>
      <c r="H10" s="205">
        <f ca="1">IFERROR(IF(G10&gt;=80000,G10*VLOOKUP(G10,$K$17:$P$29,IF(OR(C10="黃金級",C10="金級",C10="白金級"),2,IF(C10="銀級",4,IF(C10="銅級",5,IF(OR(C10="石頭",C10="石頭級"),6,0)))),TRUE()),0),0)+IF(G10&gt;=E10,5000,0)+IF(G10&gt;=120000,3000,0)+IF(G10&gt;=140000,3000,0)+IF(G10&gt;=160000,3000,0)+IF(G10&gt;=180000,3000,0)+IF(G10&gt;=200000,3000,0)</f>
        <v>20933.906666666669</v>
      </c>
      <c r="J10" s="191"/>
      <c r="K10" s="195" t="s">
        <v>150</v>
      </c>
      <c r="L10" s="196">
        <v>70000</v>
      </c>
      <c r="M10" s="197">
        <v>5000</v>
      </c>
      <c r="N10" s="197">
        <v>3000</v>
      </c>
      <c r="O10" s="197">
        <v>3000</v>
      </c>
      <c r="P10" s="197">
        <v>3000</v>
      </c>
      <c r="R10" s="194"/>
    </row>
    <row r="11" spans="1:18" s="190" customFormat="1" ht="21.75" customHeight="1">
      <c r="A11" s="203" t="s">
        <v>18</v>
      </c>
      <c r="B11" s="203" t="s">
        <v>110</v>
      </c>
      <c r="C11" s="204" t="s">
        <v>104</v>
      </c>
      <c r="D11" s="186">
        <f ca="1">H11*20</f>
        <v>138052.88888888888</v>
      </c>
      <c r="E11" s="198">
        <v>70000</v>
      </c>
      <c r="F11" s="188">
        <f>SUMIF(數據!$A:$A,$B11,數據!$B:$B)</f>
        <v>85619</v>
      </c>
      <c r="G11" s="188">
        <f ca="1">(F11/((DATEDIF($B$2,$C$2,"d")))*30)</f>
        <v>95132.222222222219</v>
      </c>
      <c r="H11" s="205">
        <f ca="1">IFERROR(IF(G11&gt;=80000,G11*VLOOKUP(G11,$K$17:$P$29,IF(OR(C11="黃金級",C11="金級",C11="白金級"),2,IF(C11="銀級",4,IF(C11="銅級",5,IF(OR(C11="石頭",C11="石頭級"),6,0)))),TRUE()),0),0)+IF(G11&gt;=E11,5000,0)+IF(G11&gt;=120000,3000,0)+IF(G11&gt;=140000,3000,0)+IF(G11&gt;=160000,3000,0)+IF(G11&gt;=180000,3000,0)+IF(G11&gt;=200000,3000,0)</f>
        <v>6902.6444444444442</v>
      </c>
      <c r="J11" s="191"/>
      <c r="K11" s="195" t="s">
        <v>113</v>
      </c>
      <c r="L11" s="196">
        <v>60000</v>
      </c>
      <c r="M11" s="197">
        <v>5000</v>
      </c>
      <c r="N11" s="197">
        <v>3000</v>
      </c>
      <c r="O11" s="197">
        <v>3000</v>
      </c>
      <c r="P11" s="197">
        <v>3000</v>
      </c>
      <c r="R11" s="194"/>
    </row>
    <row r="12" spans="1:18" s="190" customFormat="1" ht="21.75" customHeight="1">
      <c r="A12" s="203"/>
      <c r="B12" s="203"/>
      <c r="C12" s="203"/>
      <c r="D12" s="186"/>
      <c r="E12" s="198"/>
      <c r="F12" s="206"/>
      <c r="G12" s="206"/>
      <c r="H12" s="205"/>
      <c r="J12" s="191"/>
      <c r="K12" s="207"/>
      <c r="L12" s="208"/>
      <c r="M12" s="209"/>
      <c r="N12" s="209"/>
      <c r="O12" s="209"/>
      <c r="P12" s="209"/>
      <c r="R12" s="194"/>
    </row>
    <row r="13" spans="1:18" s="190" customFormat="1" ht="21.75" customHeight="1">
      <c r="A13" s="210" t="s">
        <v>149</v>
      </c>
      <c r="B13" s="199" t="s">
        <v>7</v>
      </c>
      <c r="C13" s="210" t="s">
        <v>134</v>
      </c>
      <c r="D13" s="211">
        <f ca="1">SUM(D9:D11)</f>
        <v>556731.02222222229</v>
      </c>
      <c r="E13" s="212">
        <f>SUM(E9:E11)</f>
        <v>250000</v>
      </c>
      <c r="F13" s="212">
        <f>SUM(F9:F12)</f>
        <v>294990</v>
      </c>
      <c r="G13" s="212">
        <f ca="1">SUM(G9:G12)</f>
        <v>327766.66666666669</v>
      </c>
      <c r="H13" s="212">
        <f ca="1">SUM(H9:H12)</f>
        <v>27836.551111111112</v>
      </c>
      <c r="J13" s="191"/>
      <c r="K13" s="207"/>
      <c r="L13" s="208"/>
      <c r="M13" s="209"/>
      <c r="N13" s="209"/>
      <c r="O13" s="209"/>
      <c r="P13" s="209"/>
      <c r="R13" s="194"/>
    </row>
    <row r="14" spans="1:18" s="190" customFormat="1" ht="21.75" customHeight="1">
      <c r="A14" s="203" t="s">
        <v>19</v>
      </c>
      <c r="B14" s="204" t="s">
        <v>99</v>
      </c>
      <c r="C14" s="204" t="s">
        <v>100</v>
      </c>
      <c r="D14" s="186">
        <f ca="1">H14*20</f>
        <v>172127.61111111112</v>
      </c>
      <c r="E14" s="196">
        <v>80000</v>
      </c>
      <c r="F14" s="188">
        <f>SUMIF(數據!$A:$A,$B14,數據!$B:$B)</f>
        <v>92735.5</v>
      </c>
      <c r="G14" s="188">
        <f ca="1">(F14/((DATEDIF($B$2,$C$2,"d")))*30)</f>
        <v>103039.44444444445</v>
      </c>
      <c r="H14" s="189">
        <f ca="1">IFERROR(IF(G14&gt;=80000,G14*VLOOKUP(G14,$K$17:$P$29,IF(OR(C14="黃金級",C14="金級",C14="白金級"),2,IF(C14="銀級",4,IF(C14="銅級",5,IF(OR(C14="石頭",C14="石頭級"),6,0)))),TRUE()),0),0)+IF(G14&gt;=E14,5000,0)+IF(G14&gt;=120000,3000,0)+IF(G14&gt;=140000,3000,0)+IF(G14&gt;=160000,3000,0)+IF(G14&gt;=180000,3000,0)+IF(G14&gt;=200000,3000,0)</f>
        <v>8606.3805555555555</v>
      </c>
      <c r="J14" s="191"/>
      <c r="K14" s="191"/>
      <c r="L14" s="213"/>
      <c r="M14" s="191"/>
      <c r="N14" s="191"/>
      <c r="O14" s="214"/>
      <c r="P14" s="214"/>
      <c r="R14" s="194"/>
    </row>
    <row r="15" spans="1:18" s="190" customFormat="1" ht="21.75" customHeight="1">
      <c r="A15" s="203" t="s">
        <v>19</v>
      </c>
      <c r="B15" s="204" t="s">
        <v>88</v>
      </c>
      <c r="C15" s="203" t="s">
        <v>89</v>
      </c>
      <c r="D15" s="186">
        <f ca="1">H15*20</f>
        <v>514400.2888888889</v>
      </c>
      <c r="E15" s="196">
        <v>90000</v>
      </c>
      <c r="F15" s="188">
        <f>SUMIF(數據!$A:$A,$B15,數據!$B:$B)</f>
        <v>150685.9</v>
      </c>
      <c r="G15" s="188">
        <f ca="1">(F15/((DATEDIF($B$2,$C$2,"d")))*30)</f>
        <v>167428.77777777778</v>
      </c>
      <c r="H15" s="189">
        <f ca="1">IFERROR(IF(G15&gt;=80000,G15*VLOOKUP(G15,$K$17:$P$29,IF(OR(C15="黃金級",C15="金級",C15="白金級"),2,IF(C15="銀級",4,IF(C15="銅級",5,IF(OR(C15="石頭",C15="石頭級"),6,0)))),TRUE()),0),0)+IF(G15&gt;=E15,5000,0)+IF(G15&gt;=120000,3000,0)+IF(G15&gt;=140000,3000,0)+IF(G15&gt;=160000,3000,0)+IF(G15&gt;=180000,3000,0)+IF(G15&gt;=200000,3000,0)</f>
        <v>25720.014444444445</v>
      </c>
      <c r="J15" s="191"/>
      <c r="K15" s="534" t="s">
        <v>151</v>
      </c>
      <c r="L15" s="534"/>
      <c r="M15" s="534"/>
      <c r="N15" s="534"/>
      <c r="O15" s="534"/>
      <c r="P15" s="534"/>
      <c r="R15" s="194"/>
    </row>
    <row r="16" spans="1:18" s="190" customFormat="1" ht="21.75" customHeight="1">
      <c r="A16" s="203" t="s">
        <v>19</v>
      </c>
      <c r="B16" s="203" t="s">
        <v>107</v>
      </c>
      <c r="C16" s="203" t="s">
        <v>104</v>
      </c>
      <c r="D16" s="186">
        <f ca="1">H16*20</f>
        <v>0</v>
      </c>
      <c r="E16" s="198">
        <v>70000</v>
      </c>
      <c r="F16" s="188">
        <f>SUMIF(數據!$A:$A,$B16,數據!$B:$B)</f>
        <v>49698</v>
      </c>
      <c r="G16" s="188">
        <f ca="1">(F16/((DATEDIF($B$2,$C$2,"d")))*30)</f>
        <v>55220</v>
      </c>
      <c r="H16" s="189">
        <f ca="1">IFERROR(IF(G16&gt;=80000,G16*VLOOKUP(G16,$K$17:$P$29,IF(OR(C16="黃金級",C16="金級",C16="白金級"),2,IF(C16="銀級",4,IF(C16="銅級",5,IF(OR(C16="石頭",C16="石頭級"),6,0)))),TRUE()),0),0)+IF(G16&gt;=E16,5000,0)+IF(G16&gt;=120000,3000,0)+IF(G16&gt;=140000,3000,0)+IF(G16&gt;=160000,3000,0)+IF(G16&gt;=180000,3000,0)+IF(G16&gt;=200000,3000,0)</f>
        <v>0</v>
      </c>
      <c r="J16" s="191"/>
      <c r="K16" s="215" t="s">
        <v>152</v>
      </c>
      <c r="L16" s="535" t="s">
        <v>153</v>
      </c>
      <c r="M16" s="535"/>
      <c r="N16" s="1" t="s">
        <v>89</v>
      </c>
      <c r="O16" s="1" t="s">
        <v>100</v>
      </c>
      <c r="P16" s="216" t="s">
        <v>104</v>
      </c>
      <c r="R16" s="194"/>
    </row>
    <row r="17" spans="1:18" s="190" customFormat="1" ht="21.75" customHeight="1">
      <c r="A17" s="203"/>
      <c r="B17" s="203"/>
      <c r="C17" s="203"/>
      <c r="D17" s="217"/>
      <c r="E17" s="198"/>
      <c r="F17" s="206"/>
      <c r="G17" s="206"/>
      <c r="H17" s="205"/>
      <c r="J17" s="191"/>
      <c r="K17" s="218">
        <v>80000</v>
      </c>
      <c r="L17" s="531">
        <v>0.04</v>
      </c>
      <c r="M17" s="531"/>
      <c r="N17" s="219">
        <v>0.03</v>
      </c>
      <c r="O17" s="219">
        <v>2.5000000000000001E-2</v>
      </c>
      <c r="P17" s="220">
        <v>0.02</v>
      </c>
      <c r="R17" s="194"/>
    </row>
    <row r="18" spans="1:18" s="190" customFormat="1" ht="21.75" customHeight="1">
      <c r="A18" s="210" t="s">
        <v>149</v>
      </c>
      <c r="B18" s="199" t="s">
        <v>7</v>
      </c>
      <c r="C18" s="210" t="s">
        <v>134</v>
      </c>
      <c r="D18" s="211">
        <f ca="1">SUM(D14:D16)</f>
        <v>686527.9</v>
      </c>
      <c r="E18" s="212">
        <f>SUM(E14:E16)</f>
        <v>240000</v>
      </c>
      <c r="F18" s="212">
        <f>SUM(F14:F17)</f>
        <v>293119.40000000002</v>
      </c>
      <c r="G18" s="212">
        <f ca="1">SUM(G14:G17)</f>
        <v>325688.22222222225</v>
      </c>
      <c r="H18" s="212">
        <f ca="1">SUM(H14:H17)</f>
        <v>34326.395000000004</v>
      </c>
      <c r="J18" s="191"/>
      <c r="K18" s="218">
        <v>90000</v>
      </c>
      <c r="L18" s="531">
        <v>4.4999999999999998E-2</v>
      </c>
      <c r="M18" s="531"/>
      <c r="N18" s="219">
        <v>3.5000000000000003E-2</v>
      </c>
      <c r="O18" s="219">
        <v>0.03</v>
      </c>
      <c r="P18" s="220">
        <v>0.02</v>
      </c>
      <c r="R18" s="194"/>
    </row>
    <row r="19" spans="1:18" s="190" customFormat="1" ht="21.75" customHeight="1">
      <c r="A19" s="203" t="s">
        <v>20</v>
      </c>
      <c r="B19" s="203" t="s">
        <v>93</v>
      </c>
      <c r="C19" s="203" t="s">
        <v>91</v>
      </c>
      <c r="D19" s="186">
        <f ca="1">H19*20</f>
        <v>469183.36</v>
      </c>
      <c r="E19" s="198">
        <v>100000</v>
      </c>
      <c r="F19" s="188">
        <f>SUMIF(數據!$A:$A,$B19,數據!$B:$B)</f>
        <v>140165.63999999998</v>
      </c>
      <c r="G19" s="188">
        <f ca="1">(F19/((DATEDIF($B$2,$C$2,"d")))*30)</f>
        <v>155739.59999999998</v>
      </c>
      <c r="H19" s="189">
        <f ca="1">IFERROR(IF(G19&gt;=80000,G19*VLOOKUP(G19,$K$17:$P$29,IF(OR(C19="黃金級",C19="金級",C19="白金級"),2,IF(C19="銀級",4,IF(C19="銅級",5,IF(OR(C19="石頭",C19="石頭級"),6,0)))),TRUE()),0),0)+IF(G19&gt;=E19,5000,0)+IF(G19&gt;=120000,3000,0)+IF(G19&gt;=140000,3000,0)+IF(G19&gt;=160000,3000,0)+IF(G19&gt;=180000,3000,0)+IF(G19&gt;=200000,3000,0)</f>
        <v>23459.167999999998</v>
      </c>
      <c r="J19" s="191"/>
      <c r="K19" s="218">
        <v>100000</v>
      </c>
      <c r="L19" s="531">
        <v>0.05</v>
      </c>
      <c r="M19" s="531"/>
      <c r="N19" s="219">
        <v>0.04</v>
      </c>
      <c r="O19" s="219">
        <v>3.5000000000000003E-2</v>
      </c>
      <c r="P19" s="220">
        <v>0.03</v>
      </c>
      <c r="R19" s="194"/>
    </row>
    <row r="20" spans="1:18" s="190" customFormat="1" ht="21.75" customHeight="1">
      <c r="A20" s="203" t="s">
        <v>20</v>
      </c>
      <c r="B20" s="203" t="s">
        <v>105</v>
      </c>
      <c r="C20" s="203" t="s">
        <v>100</v>
      </c>
      <c r="D20" s="186">
        <f ca="1">H20*20</f>
        <v>173393.78666666668</v>
      </c>
      <c r="E20" s="198">
        <v>80000</v>
      </c>
      <c r="F20" s="188">
        <f>SUMIF(數據!$A:$A,$B20,數據!$B:$B)</f>
        <v>94363.44</v>
      </c>
      <c r="G20" s="188">
        <f ca="1">(F20/((DATEDIF($B$2,$C$2,"d")))*30)</f>
        <v>104848.26666666668</v>
      </c>
      <c r="H20" s="189">
        <f ca="1">IFERROR(IF(G20&gt;=80000,G20*VLOOKUP(G20,$K$17:$P$29,IF(OR(C20="黃金級",C20="金級",C20="白金級"),2,IF(C20="銀級",4,IF(C20="銅級",5,IF(OR(C20="石頭",C20="石頭級"),6,0)))),TRUE()),0),0)+IF(G20&gt;=E20,5000,0)+IF(G20&gt;=120000,3000,0)+IF(G20&gt;=140000,3000,0)+IF(G20&gt;=160000,3000,0)+IF(G20&gt;=180000,3000,0)+IF(G20&gt;=200000,3000,0)</f>
        <v>8669.6893333333337</v>
      </c>
      <c r="J20" s="191"/>
      <c r="K20" s="218">
        <v>110000</v>
      </c>
      <c r="L20" s="531">
        <v>5.5E-2</v>
      </c>
      <c r="M20" s="531"/>
      <c r="N20" s="219">
        <v>4.4999999999999998E-2</v>
      </c>
      <c r="O20" s="219">
        <v>0.04</v>
      </c>
      <c r="P20" s="220">
        <v>3.5000000000000003E-2</v>
      </c>
      <c r="R20" s="194"/>
    </row>
    <row r="21" spans="1:18" s="190" customFormat="1" ht="21.75" customHeight="1">
      <c r="A21" s="203" t="s">
        <v>20</v>
      </c>
      <c r="B21" s="203" t="s">
        <v>102</v>
      </c>
      <c r="C21" s="203" t="s">
        <v>89</v>
      </c>
      <c r="D21" s="186">
        <f ca="1">H21*20</f>
        <v>165751.99555555556</v>
      </c>
      <c r="E21" s="198">
        <v>90000</v>
      </c>
      <c r="F21" s="188">
        <f>SUMIF(數據!$A:$A,$B21,數據!$B:$B)</f>
        <v>84538.28</v>
      </c>
      <c r="G21" s="188">
        <f ca="1">(F21/((DATEDIF($B$2,$C$2,"d")))*30)</f>
        <v>93931.422222222216</v>
      </c>
      <c r="H21" s="189">
        <f ca="1">IFERROR(IF(G21&gt;=80000,G21*VLOOKUP(G21,$K$17:$P$29,IF(OR(C21="黃金級",C21="金級",C21="白金級"),2,IF(C21="銀級",4,IF(C21="銅級",5,IF(OR(C21="石頭",C21="石頭級"),6,0)))),TRUE()),0),0)+IF(G21&gt;=E21,5000,0)+IF(G21&gt;=120000,3000,0)+IF(G21&gt;=140000,3000,0)+IF(G21&gt;=160000,3000,0)+IF(G21&gt;=180000,3000,0)+IF(G21&gt;=200000,3000,0)</f>
        <v>8287.5997777777775</v>
      </c>
      <c r="J21" s="191"/>
      <c r="K21" s="218">
        <v>120000</v>
      </c>
      <c r="L21" s="531">
        <v>0.06</v>
      </c>
      <c r="M21" s="531"/>
      <c r="N21" s="219">
        <v>0.05</v>
      </c>
      <c r="O21" s="219">
        <v>4.4999999999999998E-2</v>
      </c>
      <c r="P21" s="220">
        <v>0.04</v>
      </c>
      <c r="R21" s="194"/>
    </row>
    <row r="22" spans="1:18" s="190" customFormat="1" ht="21.75" customHeight="1">
      <c r="A22" s="203" t="s">
        <v>20</v>
      </c>
      <c r="B22" s="203" t="s">
        <v>111</v>
      </c>
      <c r="C22" s="203" t="s">
        <v>104</v>
      </c>
      <c r="D22" s="186">
        <f ca="1">H22*20</f>
        <v>100000</v>
      </c>
      <c r="E22" s="198">
        <v>70000</v>
      </c>
      <c r="F22" s="188">
        <f>SUMIF(數據!$A:$A,$B22,數據!$B:$B)</f>
        <v>65486.560000000005</v>
      </c>
      <c r="G22" s="188">
        <f ca="1">(F22/((DATEDIF($B$2,$C$2,"d")))*30)</f>
        <v>72762.844444444461</v>
      </c>
      <c r="H22" s="189">
        <f ca="1">IFERROR(IF(G22&gt;=80000,G22*VLOOKUP(G22,$K$17:$P$29,IF(OR(C22="黃金級",C22="金級",C22="白金級"),2,IF(C22="銀級",4,IF(C22="銅級",5,IF(OR(C22="石頭",C22="石頭級"),6,0)))),TRUE()),0),0)+IF(G22&gt;=E22,5000,0)+IF(G22&gt;=120000,3000,0)+IF(G22&gt;=140000,3000,0)+IF(G22&gt;=160000,3000,0)+IF(G22&gt;=180000,3000,0)+IF(G22&gt;=200000,3000,0)</f>
        <v>5000</v>
      </c>
      <c r="J22" s="191"/>
      <c r="K22" s="218">
        <v>130000</v>
      </c>
      <c r="L22" s="531">
        <v>7.0000000000000007E-2</v>
      </c>
      <c r="M22" s="531"/>
      <c r="N22" s="219">
        <v>5.5E-2</v>
      </c>
      <c r="O22" s="219">
        <v>0.05</v>
      </c>
      <c r="P22" s="220">
        <v>4.4999999999999998E-2</v>
      </c>
      <c r="R22" s="194"/>
    </row>
    <row r="23" spans="1:18" s="190" customFormat="1" ht="21.75" customHeight="1">
      <c r="A23" s="203"/>
      <c r="B23" s="203"/>
      <c r="C23" s="203"/>
      <c r="D23" s="217"/>
      <c r="E23" s="198"/>
      <c r="F23" s="206"/>
      <c r="G23" s="206"/>
      <c r="H23" s="205"/>
      <c r="J23" s="191"/>
      <c r="K23" s="218">
        <v>140000</v>
      </c>
      <c r="L23" s="531">
        <v>7.4999999999999997E-2</v>
      </c>
      <c r="M23" s="531"/>
      <c r="N23" s="219">
        <v>0.06</v>
      </c>
      <c r="O23" s="219">
        <v>5.5E-2</v>
      </c>
      <c r="P23" s="220">
        <v>0.05</v>
      </c>
      <c r="R23" s="194"/>
    </row>
    <row r="24" spans="1:18" s="190" customFormat="1" ht="21.75" customHeight="1">
      <c r="A24" s="210" t="s">
        <v>149</v>
      </c>
      <c r="B24" s="199" t="s">
        <v>7</v>
      </c>
      <c r="C24" s="210" t="s">
        <v>134</v>
      </c>
      <c r="D24" s="211">
        <f ca="1">SUM(D19:D23)</f>
        <v>908329.14222222229</v>
      </c>
      <c r="E24" s="212">
        <f>SUM(E19:E23)</f>
        <v>340000</v>
      </c>
      <c r="F24" s="212">
        <f>SUM(F19:F23)</f>
        <v>384553.92</v>
      </c>
      <c r="G24" s="212">
        <f ca="1">SUM(G19:G23)</f>
        <v>427282.1333333333</v>
      </c>
      <c r="H24" s="212">
        <f ca="1">SUM(H19:H23)</f>
        <v>45416.457111111115</v>
      </c>
      <c r="J24" s="191"/>
      <c r="K24" s="218">
        <v>150000</v>
      </c>
      <c r="L24" s="531">
        <v>0.08</v>
      </c>
      <c r="M24" s="531"/>
      <c r="N24" s="219">
        <v>6.5000000000000002E-2</v>
      </c>
      <c r="O24" s="219">
        <v>0.06</v>
      </c>
      <c r="P24" s="220">
        <v>5.5E-2</v>
      </c>
      <c r="R24" s="194"/>
    </row>
    <row r="25" spans="1:18" s="190" customFormat="1" ht="21.75" customHeight="1">
      <c r="A25" s="203" t="s">
        <v>21</v>
      </c>
      <c r="B25" s="203" t="s">
        <v>90</v>
      </c>
      <c r="C25" s="203" t="s">
        <v>91</v>
      </c>
      <c r="D25" s="186">
        <f ca="1">H25*20</f>
        <v>564809.65111111116</v>
      </c>
      <c r="E25" s="198">
        <v>100000</v>
      </c>
      <c r="F25" s="188">
        <f>SUMIF(數據!$A:$A,$B25,數據!$B:$B)</f>
        <v>150781.58000000002</v>
      </c>
      <c r="G25" s="188">
        <f ca="1">(F25/((DATEDIF($B$2,$C$2,"d")))*30)</f>
        <v>167535.08888888892</v>
      </c>
      <c r="H25" s="189">
        <f ca="1">IFERROR(IF(G25&gt;=80000,G25*VLOOKUP(G25,$K$17:$P$29,IF(OR(C25="黃金級",C25="金級",C25="白金級"),2,IF(C25="銀級",4,IF(C25="銅級",5,IF(OR(C25="石頭",C25="石頭級"),6,0)))),TRUE()),0),0)+IF(G25&gt;=E25,5000,0)+IF(G25&gt;=120000,3000,0)+IF(G25&gt;=140000,3000,0)+IF(G25&gt;=160000,3000,0)+IF(G25&gt;=180000,3000,0)+IF(G25&gt;=200000,3000,0)</f>
        <v>28240.482555555558</v>
      </c>
      <c r="J25" s="191"/>
      <c r="K25" s="218">
        <v>160000</v>
      </c>
      <c r="L25" s="531">
        <v>8.5000000000000006E-2</v>
      </c>
      <c r="M25" s="531"/>
      <c r="N25" s="219">
        <v>7.0000000000000007E-2</v>
      </c>
      <c r="O25" s="219">
        <v>6.5000000000000002E-2</v>
      </c>
      <c r="P25" s="220">
        <v>0.06</v>
      </c>
      <c r="R25" s="194"/>
    </row>
    <row r="26" spans="1:18" s="190" customFormat="1" ht="21.75" customHeight="1">
      <c r="A26" s="203" t="s">
        <v>21</v>
      </c>
      <c r="B26" s="204" t="s">
        <v>109</v>
      </c>
      <c r="C26" s="203" t="s">
        <v>89</v>
      </c>
      <c r="D26" s="186">
        <f ca="1">H26*20</f>
        <v>200493.2</v>
      </c>
      <c r="E26" s="196">
        <v>90000</v>
      </c>
      <c r="F26" s="188">
        <f>SUMIF(數據!$A:$A,$B26,數據!$B:$B)</f>
        <v>100493.2</v>
      </c>
      <c r="G26" s="188">
        <f ca="1">(F26/((DATEDIF($B$2,$C$2,"d")))*30)</f>
        <v>111659.11111111111</v>
      </c>
      <c r="H26" s="189">
        <f ca="1">IFERROR(IF(G26&gt;=80000,G26*VLOOKUP(G26,$K$17:$P$29,IF(OR(C26="黃金級",C26="金級",C26="白金級"),2,IF(C26="銀級",4,IF(C26="銅級",5,IF(OR(C26="石頭",C26="石頭級"),6,0)))),TRUE()),0),0)+IF(G26&gt;=E26,5000,0)+IF(G26&gt;=120000,3000,0)+IF(G26&gt;=140000,3000,0)+IF(G26&gt;=160000,3000,0)+IF(G26&gt;=180000,3000,0)+IF(G26&gt;=200000,3000,0)</f>
        <v>10024.66</v>
      </c>
      <c r="J26" s="191"/>
      <c r="K26" s="218">
        <v>170000</v>
      </c>
      <c r="L26" s="531">
        <v>0.09</v>
      </c>
      <c r="M26" s="531"/>
      <c r="N26" s="219">
        <v>7.4999999999999997E-2</v>
      </c>
      <c r="O26" s="219">
        <v>7.0000000000000007E-2</v>
      </c>
      <c r="P26" s="220">
        <v>6.5000000000000002E-2</v>
      </c>
      <c r="R26" s="194"/>
    </row>
    <row r="27" spans="1:18" s="190" customFormat="1" ht="21.75" hidden="1" customHeight="1">
      <c r="A27" s="203"/>
      <c r="B27" s="203"/>
      <c r="C27" s="203"/>
      <c r="D27" s="186"/>
      <c r="E27" s="198"/>
      <c r="F27" s="188"/>
      <c r="G27" s="188"/>
      <c r="H27" s="189"/>
      <c r="J27" s="221"/>
      <c r="K27" s="218"/>
      <c r="L27" s="531"/>
      <c r="M27" s="531"/>
      <c r="N27" s="219"/>
      <c r="O27" s="219"/>
      <c r="P27" s="220"/>
      <c r="R27" s="194"/>
    </row>
    <row r="28" spans="1:18" s="190" customFormat="1" ht="21.75" customHeight="1">
      <c r="A28" s="203" t="s">
        <v>21</v>
      </c>
      <c r="B28" s="204" t="s">
        <v>103</v>
      </c>
      <c r="C28" s="203" t="s">
        <v>104</v>
      </c>
      <c r="D28" s="186">
        <f ca="1">H28*20</f>
        <v>132439.37777777779</v>
      </c>
      <c r="E28" s="196">
        <v>70000</v>
      </c>
      <c r="F28" s="188">
        <f>SUMIF(數據!$A:$A,$B28,數據!$B:$B)</f>
        <v>72988.600000000006</v>
      </c>
      <c r="G28" s="188">
        <f ca="1">(F28/((DATEDIF($B$2,$C$2,"d")))*30)</f>
        <v>81098.444444444438</v>
      </c>
      <c r="H28" s="189">
        <f ca="1">IFERROR(IF(G28&gt;=80000,G28*VLOOKUP(G28,$K$17:$P$29,IF(OR(C28="黃金級",C28="金級",C28="白金級"),2,IF(C28="銀級",4,IF(C28="銅級",5,IF(OR(C28="石頭",C28="石頭級"),6,0)))),TRUE()),0),0)+IF(G28&gt;=E28,5000,0)+IF(G28&gt;=120000,3000,0)+IF(G28&gt;=140000,3000,0)+IF(G28&gt;=160000,3000,0)+IF(G28&gt;=180000,3000,0)+IF(G28&gt;=200000,3000,0)</f>
        <v>6621.9688888888886</v>
      </c>
      <c r="J28" s="191"/>
      <c r="K28" s="218">
        <v>190000</v>
      </c>
      <c r="L28" s="527">
        <v>0.1</v>
      </c>
      <c r="M28" s="527"/>
      <c r="N28" s="219">
        <v>8.5000000000000006E-2</v>
      </c>
      <c r="O28" s="219">
        <v>0.08</v>
      </c>
      <c r="P28" s="220">
        <v>7.4999999999999997E-2</v>
      </c>
      <c r="R28" s="194"/>
    </row>
    <row r="29" spans="1:18" s="190" customFormat="1" ht="21.75" customHeight="1">
      <c r="A29" s="203" t="s">
        <v>21</v>
      </c>
      <c r="B29" s="204" t="s">
        <v>112</v>
      </c>
      <c r="C29" s="203" t="s">
        <v>113</v>
      </c>
      <c r="D29" s="186">
        <f ca="1">H29*20</f>
        <v>0</v>
      </c>
      <c r="E29" s="198">
        <v>60000</v>
      </c>
      <c r="F29" s="188">
        <f>SUMIF(數據!$A:$A,$B29,數據!$B:$B)</f>
        <v>52070.2</v>
      </c>
      <c r="G29" s="188">
        <f ca="1">(F29/((DATEDIF($B$2,$C$2,"d")))*30)</f>
        <v>57855.777777777774</v>
      </c>
      <c r="H29" s="189">
        <f ca="1">IFERROR(IF(G29&gt;=80000,G29*VLOOKUP(G29,$K$17:$P$29,IF(OR(C29="黃金級",C29="金級",C29="白金級"),2,IF(C29="銀級",4,IF(C29="銅級",5,IF(OR(C29="石頭",C29="石頭級"),6,0)))),TRUE()),0),0)+IF(G29&gt;=E29,5000,0)+IF(G29&gt;=120000,3000,0)+IF(G29&gt;=140000,3000,0)+IF(G29&gt;=160000,3000,0)+IF(G29&gt;=180000,3000,0)+IF(G29&gt;=200000,3000,0)</f>
        <v>0</v>
      </c>
      <c r="J29" s="191"/>
      <c r="K29" s="218">
        <v>200000</v>
      </c>
      <c r="L29" s="527">
        <v>0.105</v>
      </c>
      <c r="M29" s="527"/>
      <c r="N29" s="219">
        <v>0.09</v>
      </c>
      <c r="O29" s="219">
        <v>8.5000000000000006E-2</v>
      </c>
      <c r="P29" s="220">
        <v>0.08</v>
      </c>
      <c r="R29" s="194"/>
    </row>
    <row r="30" spans="1:18" s="190" customFormat="1" ht="21.75" customHeight="1">
      <c r="A30" s="222" t="s">
        <v>149</v>
      </c>
      <c r="B30" s="222"/>
      <c r="C30" s="222" t="s">
        <v>134</v>
      </c>
      <c r="D30" s="223">
        <f ca="1">SUM(D25:D29)</f>
        <v>897742.22888888908</v>
      </c>
      <c r="E30" s="224">
        <f>SUM(E25:E29)</f>
        <v>320000</v>
      </c>
      <c r="F30" s="224">
        <f>SUM(F25:F29)</f>
        <v>376333.58</v>
      </c>
      <c r="G30" s="224">
        <f ca="1">SUM(G25:G29)</f>
        <v>418148.4222222222</v>
      </c>
      <c r="H30" s="224">
        <f ca="1">SUM(H25:H29)</f>
        <v>44887.111444444454</v>
      </c>
      <c r="J30" s="191"/>
      <c r="K30" s="174"/>
      <c r="L30" s="174"/>
      <c r="M30" s="175"/>
      <c r="N30" s="174"/>
      <c r="O30" s="174"/>
      <c r="P30" s="176"/>
      <c r="Q30" s="173"/>
      <c r="R30" s="194"/>
    </row>
    <row r="31" spans="1:18" s="190" customFormat="1" ht="21.75" customHeight="1">
      <c r="A31" s="225" t="s">
        <v>22</v>
      </c>
      <c r="B31" s="225" t="s">
        <v>23</v>
      </c>
      <c r="C31" s="225" t="s">
        <v>95</v>
      </c>
      <c r="D31" s="226">
        <f ca="1">H31*20</f>
        <v>558225.4</v>
      </c>
      <c r="E31" s="227">
        <v>100000</v>
      </c>
      <c r="F31" s="227">
        <f>SUMIF(數據!$A:$A,$B31,數據!$B:$B)</f>
        <v>147295.79999999999</v>
      </c>
      <c r="G31" s="227">
        <f ca="1">(F31/((DATEDIF($B$2,$C$2,"d")))*30)</f>
        <v>163662</v>
      </c>
      <c r="H31" s="228">
        <f ca="1">IFERROR(IF(G31&gt;=80000,G31*VLOOKUP(G31,$K$17:$P$29,IF(OR(C31="黃金級",C31="金級",C31="白金級"),2,IF(C31="銀級",4,IF(C31="銅級",5,IF(OR(C31="石頭",C31="石頭級"),6,0)))),TRUE()),0),0)+IF(G31&gt;=E31,5000,0)+IF(G31&gt;=120000,3000,0)+IF(G31&gt;=140000,3000,0)+IF(G31&gt;=160000,3000,0)+IF(G31&gt;=180000,3000,0)+IF(G31&gt;=200000,3000,0)</f>
        <v>27911.27</v>
      </c>
      <c r="J31" s="191"/>
      <c r="K31" s="229" t="s">
        <v>154</v>
      </c>
      <c r="L31" s="230" t="s">
        <v>155</v>
      </c>
      <c r="M31" s="231" t="s">
        <v>145</v>
      </c>
      <c r="N31" s="528" t="s">
        <v>156</v>
      </c>
      <c r="O31" s="528"/>
      <c r="P31" s="232"/>
      <c r="Q31" s="232"/>
      <c r="R31" s="194"/>
    </row>
    <row r="32" spans="1:18" s="190" customFormat="1" ht="21.75" customHeight="1">
      <c r="A32" s="225"/>
      <c r="B32" s="225"/>
      <c r="C32" s="225"/>
      <c r="D32" s="226"/>
      <c r="E32" s="227"/>
      <c r="F32" s="227"/>
      <c r="G32" s="227"/>
      <c r="H32" s="233"/>
      <c r="J32" s="191"/>
      <c r="K32" s="234" t="s">
        <v>153</v>
      </c>
      <c r="L32" s="235">
        <v>100000</v>
      </c>
      <c r="M32" s="234">
        <v>5000</v>
      </c>
      <c r="N32" s="529" t="s">
        <v>157</v>
      </c>
      <c r="O32" s="529"/>
      <c r="P32" s="529"/>
      <c r="Q32" s="529"/>
      <c r="R32" s="194"/>
    </row>
    <row r="33" spans="1:18" s="190" customFormat="1" ht="34.5" customHeight="1">
      <c r="A33" s="173"/>
      <c r="B33" s="173"/>
      <c r="C33" s="173"/>
      <c r="D33" s="173"/>
      <c r="E33" s="173"/>
      <c r="F33" s="236" t="s">
        <v>158</v>
      </c>
      <c r="G33" s="237">
        <f>SUM(F4,F5,F6,F7,F9,F10,F11,F14,F15,F16,F19,F20,F21,F22,F25,F26,F27,F28,F29,F31)</f>
        <v>1846102.1900000002</v>
      </c>
      <c r="H33" s="173"/>
      <c r="J33" s="191"/>
      <c r="K33" s="234" t="s">
        <v>89</v>
      </c>
      <c r="L33" s="235">
        <v>90000</v>
      </c>
      <c r="M33" s="234">
        <v>5000</v>
      </c>
      <c r="N33" s="238"/>
      <c r="O33" s="238"/>
      <c r="P33" s="238"/>
      <c r="Q33" s="238"/>
      <c r="R33" s="194"/>
    </row>
    <row r="34" spans="1:18" s="190" customFormat="1" ht="34.5" customHeight="1">
      <c r="A34" s="173"/>
      <c r="B34" s="173"/>
      <c r="C34" s="173"/>
      <c r="D34" s="173"/>
      <c r="E34" s="173"/>
      <c r="F34" s="236" t="s">
        <v>141</v>
      </c>
      <c r="G34" s="239">
        <f ca="1">(G33/((DATEDIF($B$2,$C$2,"d")))*30)</f>
        <v>2051224.6555555561</v>
      </c>
      <c r="H34" s="173"/>
      <c r="J34" s="191"/>
      <c r="K34" s="234" t="s">
        <v>100</v>
      </c>
      <c r="L34" s="235">
        <v>80000</v>
      </c>
      <c r="M34" s="234">
        <v>5000</v>
      </c>
      <c r="N34" s="234" t="s">
        <v>159</v>
      </c>
      <c r="O34" s="238"/>
      <c r="P34" s="238"/>
      <c r="Q34" s="238"/>
    </row>
    <row r="35" spans="1:18" s="190" customFormat="1" ht="21.75" customHeight="1">
      <c r="A35" s="173"/>
      <c r="B35" s="173"/>
      <c r="C35" s="173"/>
      <c r="D35" s="173"/>
      <c r="E35" s="173"/>
      <c r="F35" s="173"/>
      <c r="G35" s="173"/>
      <c r="H35" s="173"/>
      <c r="J35" s="191"/>
      <c r="K35" s="234" t="s">
        <v>150</v>
      </c>
      <c r="L35" s="235">
        <v>80000</v>
      </c>
      <c r="M35" s="234">
        <v>5000</v>
      </c>
      <c r="N35" s="240" t="s">
        <v>160</v>
      </c>
      <c r="O35" s="530" t="s">
        <v>161</v>
      </c>
      <c r="P35" s="530"/>
      <c r="Q35" s="530"/>
    </row>
    <row r="36" spans="1:18" ht="22.5" customHeight="1">
      <c r="B36" s="241"/>
      <c r="C36" s="242"/>
      <c r="D36" s="243"/>
      <c r="E36" s="524"/>
      <c r="F36" s="524"/>
      <c r="J36" s="174"/>
      <c r="K36" s="168"/>
      <c r="L36" s="168"/>
      <c r="M36" s="168"/>
      <c r="N36" s="155"/>
      <c r="O36" s="244"/>
      <c r="P36" s="244"/>
      <c r="Q36" s="155"/>
    </row>
    <row r="37" spans="1:18" ht="24.75" customHeight="1">
      <c r="B37" s="168"/>
      <c r="C37" s="245"/>
      <c r="D37" s="168"/>
      <c r="E37" s="525"/>
      <c r="F37" s="525"/>
      <c r="G37" s="525"/>
      <c r="H37" s="525"/>
      <c r="K37" s="173"/>
      <c r="L37" s="173"/>
      <c r="M37" s="173"/>
      <c r="N37" s="173"/>
      <c r="O37" s="173"/>
      <c r="P37" s="173"/>
      <c r="Q37" s="173"/>
    </row>
    <row r="38" spans="1:18" ht="18.75" customHeight="1">
      <c r="B38" s="168"/>
      <c r="C38" s="245"/>
      <c r="D38" s="168"/>
      <c r="K38" s="173"/>
      <c r="L38" s="173"/>
      <c r="M38" s="173"/>
      <c r="N38" s="173"/>
      <c r="O38" s="173"/>
      <c r="P38" s="173"/>
      <c r="Q38" s="173"/>
    </row>
    <row r="39" spans="1:18" ht="17.25" customHeight="1">
      <c r="B39" s="168"/>
      <c r="C39" s="245"/>
      <c r="D39" s="168"/>
      <c r="E39" s="168"/>
      <c r="K39" s="173"/>
      <c r="L39" s="173"/>
      <c r="M39" s="173"/>
      <c r="N39" s="173"/>
      <c r="O39" s="173"/>
      <c r="P39" s="173"/>
      <c r="Q39" s="173"/>
    </row>
    <row r="40" spans="1:18" ht="19.5" customHeight="1">
      <c r="B40" s="168"/>
      <c r="C40" s="245"/>
      <c r="D40" s="168"/>
      <c r="E40" s="246"/>
      <c r="F40" s="526"/>
      <c r="G40" s="526"/>
      <c r="H40" s="526"/>
      <c r="K40" s="173"/>
      <c r="L40" s="173"/>
      <c r="M40" s="173"/>
      <c r="N40" s="173"/>
      <c r="O40" s="173"/>
      <c r="P40" s="173"/>
      <c r="Q40" s="173"/>
    </row>
    <row r="41" spans="1:18" ht="19.5" customHeight="1">
      <c r="B41" s="168"/>
      <c r="C41" s="168"/>
      <c r="D41" s="168"/>
      <c r="E41" s="155"/>
      <c r="F41" s="244"/>
      <c r="G41" s="244"/>
      <c r="H41" s="155"/>
      <c r="I41" s="247"/>
      <c r="K41" s="173"/>
      <c r="L41" s="173"/>
      <c r="M41" s="173"/>
      <c r="N41" s="173"/>
      <c r="O41" s="173"/>
      <c r="P41" s="173"/>
      <c r="Q41" s="173"/>
    </row>
    <row r="42" spans="1:18" ht="19.5" customHeight="1">
      <c r="G42" s="168"/>
      <c r="I42" s="247"/>
      <c r="K42" s="173"/>
      <c r="L42" s="173"/>
      <c r="M42" s="173"/>
      <c r="N42" s="173"/>
      <c r="O42" s="173"/>
      <c r="P42" s="173"/>
      <c r="Q42" s="173"/>
    </row>
    <row r="43" spans="1:18" ht="19.5" customHeight="1">
      <c r="B43" s="522"/>
      <c r="C43" s="243"/>
      <c r="D43" s="243"/>
      <c r="E43" s="243"/>
      <c r="F43" s="243"/>
      <c r="G43" s="243"/>
      <c r="H43" s="243"/>
      <c r="I43" s="247"/>
      <c r="K43" s="173"/>
      <c r="L43" s="173"/>
      <c r="M43" s="173"/>
      <c r="N43" s="173"/>
      <c r="O43" s="173"/>
      <c r="P43" s="173"/>
      <c r="Q43" s="173"/>
    </row>
    <row r="44" spans="1:18" ht="26.25" customHeight="1">
      <c r="B44" s="522"/>
      <c r="C44" s="246"/>
      <c r="D44" s="168"/>
      <c r="E44" s="168"/>
      <c r="F44" s="168"/>
      <c r="G44" s="168"/>
      <c r="H44" s="168"/>
      <c r="I44" s="247"/>
      <c r="K44" s="173"/>
      <c r="L44" s="173"/>
      <c r="M44" s="173"/>
      <c r="N44" s="173"/>
      <c r="O44" s="173"/>
      <c r="P44" s="173"/>
      <c r="Q44" s="173"/>
    </row>
    <row r="45" spans="1:18">
      <c r="B45" s="522"/>
      <c r="C45" s="168"/>
      <c r="D45" s="168"/>
      <c r="E45" s="168"/>
      <c r="F45" s="168"/>
      <c r="G45" s="168"/>
      <c r="H45" s="168"/>
      <c r="I45" s="155"/>
      <c r="K45" s="173"/>
      <c r="L45" s="173"/>
      <c r="M45" s="173"/>
      <c r="N45" s="173"/>
      <c r="O45" s="173"/>
      <c r="P45" s="173"/>
      <c r="Q45" s="173"/>
    </row>
    <row r="46" spans="1:18" ht="17.25" customHeight="1">
      <c r="B46" s="523"/>
      <c r="C46" s="168"/>
      <c r="D46" s="168"/>
      <c r="E46" s="168"/>
      <c r="F46" s="168"/>
      <c r="G46" s="168"/>
      <c r="H46" s="168"/>
      <c r="K46" s="173"/>
      <c r="L46" s="173"/>
      <c r="M46" s="173"/>
      <c r="N46" s="173"/>
      <c r="O46" s="173"/>
      <c r="P46" s="173"/>
      <c r="Q46" s="173"/>
    </row>
    <row r="47" spans="1:18" ht="21.75" customHeight="1">
      <c r="B47" s="523"/>
      <c r="C47" s="168"/>
      <c r="D47" s="168"/>
      <c r="E47" s="168"/>
      <c r="F47" s="168"/>
      <c r="G47" s="168"/>
      <c r="H47" s="168"/>
      <c r="K47" s="173"/>
      <c r="L47" s="173"/>
      <c r="M47" s="173"/>
      <c r="N47" s="173"/>
      <c r="O47" s="173"/>
      <c r="P47" s="173"/>
      <c r="Q47" s="173"/>
    </row>
    <row r="48" spans="1:18" ht="21.75" customHeight="1">
      <c r="B48" s="168"/>
      <c r="C48" s="168"/>
      <c r="D48" s="168"/>
      <c r="E48" s="168"/>
      <c r="F48" s="168"/>
      <c r="G48" s="168"/>
      <c r="H48" s="168"/>
      <c r="K48" s="173"/>
      <c r="L48" s="173"/>
      <c r="M48" s="173"/>
      <c r="N48" s="173"/>
      <c r="O48" s="173"/>
      <c r="P48" s="173"/>
      <c r="Q48" s="173"/>
    </row>
    <row r="49" spans="2:9" s="173" customFormat="1" ht="21.75" customHeight="1">
      <c r="D49" s="248"/>
      <c r="H49" s="249"/>
    </row>
    <row r="50" spans="2:9" ht="21.75" customHeight="1">
      <c r="B50" s="522"/>
      <c r="C50" s="243"/>
      <c r="D50" s="243"/>
      <c r="E50" s="243"/>
      <c r="F50" s="243"/>
      <c r="G50" s="243"/>
      <c r="H50" s="243"/>
    </row>
    <row r="51" spans="2:9" ht="21.75" customHeight="1">
      <c r="B51" s="522"/>
      <c r="C51" s="246"/>
      <c r="D51" s="168"/>
      <c r="E51" s="168"/>
      <c r="F51" s="168"/>
      <c r="G51" s="168"/>
      <c r="H51" s="168"/>
    </row>
    <row r="52" spans="2:9" ht="20.25" customHeight="1">
      <c r="B52" s="522"/>
      <c r="C52" s="168"/>
      <c r="D52" s="168"/>
      <c r="E52" s="168"/>
      <c r="F52" s="168"/>
      <c r="G52" s="168"/>
      <c r="H52" s="168"/>
    </row>
    <row r="53" spans="2:9" ht="17.25" customHeight="1">
      <c r="B53" s="523"/>
      <c r="C53" s="168"/>
      <c r="D53" s="168"/>
      <c r="E53" s="168"/>
      <c r="F53" s="168"/>
      <c r="G53" s="168"/>
      <c r="H53" s="168"/>
    </row>
    <row r="54" spans="2:9" ht="17.25" customHeight="1">
      <c r="B54" s="523"/>
      <c r="C54" s="168"/>
      <c r="D54" s="168"/>
      <c r="E54" s="168"/>
      <c r="F54" s="168"/>
      <c r="G54" s="168"/>
      <c r="H54" s="168"/>
    </row>
    <row r="55" spans="2:9" ht="21.75" customHeight="1">
      <c r="I55" s="250"/>
    </row>
    <row r="56" spans="2:9" ht="21.75" customHeight="1">
      <c r="I56" s="250"/>
    </row>
    <row r="57" spans="2:9" ht="21.75" customHeight="1">
      <c r="I57" s="250"/>
    </row>
    <row r="58" spans="2:9" ht="21.75" customHeight="1">
      <c r="I58" s="250"/>
    </row>
    <row r="59" spans="2:9" ht="17.25" customHeight="1"/>
  </sheetData>
  <autoFilter ref="A3:Q35" xr:uid="{00000000-0009-0000-0000-000003000000}">
    <filterColumn colId="0" hiddenButton="1"/>
    <filterColumn colId="1" hiddenButton="1"/>
    <filterColumn colId="2" hiddenButton="1"/>
    <filterColumn colId="3" hiddenButton="1"/>
    <filterColumn colId="4" hiddenButton="1"/>
  </autoFilter>
  <mergeCells count="27">
    <mergeCell ref="A1:H1"/>
    <mergeCell ref="K3:P3"/>
    <mergeCell ref="K15:P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N31:O31"/>
    <mergeCell ref="N32:Q32"/>
    <mergeCell ref="O35:Q35"/>
    <mergeCell ref="B50:B52"/>
    <mergeCell ref="B53:B54"/>
    <mergeCell ref="E36:F36"/>
    <mergeCell ref="E37:H37"/>
    <mergeCell ref="F40:H40"/>
    <mergeCell ref="B43:B45"/>
    <mergeCell ref="B46:B47"/>
  </mergeCells>
  <phoneticPr fontId="149" type="noConversion"/>
  <conditionalFormatting sqref="H4:H7">
    <cfRule type="cellIs" dxfId="28" priority="22" operator="lessThan">
      <formula>#REF!</formula>
    </cfRule>
    <cfRule type="cellIs" dxfId="27" priority="23" operator="lessThan">
      <formula>#REF!</formula>
    </cfRule>
    <cfRule type="cellIs" dxfId="26" priority="24" operator="greaterThanOrEqual">
      <formula>#REF!</formula>
    </cfRule>
    <cfRule type="cellIs" dxfId="25" priority="25" operator="greaterThanOrEqual">
      <formula>#REF!</formula>
    </cfRule>
  </conditionalFormatting>
  <conditionalFormatting sqref="H9:H12">
    <cfRule type="cellIs" dxfId="24" priority="18" operator="lessThan">
      <formula>#REF!</formula>
    </cfRule>
    <cfRule type="cellIs" dxfId="23" priority="19" operator="lessThan">
      <formula>#REF!</formula>
    </cfRule>
    <cfRule type="cellIs" dxfId="22" priority="20" operator="greaterThanOrEqual">
      <formula>#REF!</formula>
    </cfRule>
    <cfRule type="cellIs" dxfId="21" priority="21" operator="greaterThanOrEqual">
      <formula>#REF!</formula>
    </cfRule>
  </conditionalFormatting>
  <conditionalFormatting sqref="H14:H17">
    <cfRule type="cellIs" dxfId="20" priority="14" operator="lessThan">
      <formula>#REF!</formula>
    </cfRule>
    <cfRule type="cellIs" dxfId="19" priority="15" operator="lessThan">
      <formula>#REF!</formula>
    </cfRule>
    <cfRule type="cellIs" dxfId="18" priority="16" operator="greaterThanOrEqual">
      <formula>#REF!</formula>
    </cfRule>
    <cfRule type="cellIs" dxfId="17" priority="17" operator="greaterThanOrEqual">
      <formula>#REF!</formula>
    </cfRule>
  </conditionalFormatting>
  <conditionalFormatting sqref="H19:H23">
    <cfRule type="cellIs" dxfId="16" priority="2" operator="lessThan">
      <formula>#REF!</formula>
    </cfRule>
    <cfRule type="cellIs" dxfId="15" priority="3" operator="lessThan">
      <formula>#REF!</formula>
    </cfRule>
    <cfRule type="cellIs" dxfId="14" priority="4" operator="greaterThanOrEqual">
      <formula>#REF!</formula>
    </cfRule>
    <cfRule type="cellIs" dxfId="13" priority="5" operator="greaterThanOrEqual">
      <formula>#REF!</formula>
    </cfRule>
  </conditionalFormatting>
  <conditionalFormatting sqref="H25:H29">
    <cfRule type="cellIs" dxfId="12" priority="10" operator="lessThan">
      <formula>#REF!</formula>
    </cfRule>
    <cfRule type="cellIs" dxfId="11" priority="11" operator="lessThan">
      <formula>#REF!</formula>
    </cfRule>
    <cfRule type="cellIs" dxfId="10" priority="12" operator="greaterThanOrEqual">
      <formula>#REF!</formula>
    </cfRule>
    <cfRule type="cellIs" dxfId="9" priority="13" operator="greaterThanOrEqual">
      <formula>#REF!</formula>
    </cfRule>
  </conditionalFormatting>
  <conditionalFormatting sqref="H31:H32">
    <cfRule type="cellIs" dxfId="8" priority="6" operator="lessThan">
      <formula>#REF!</formula>
    </cfRule>
    <cfRule type="cellIs" dxfId="7" priority="7" operator="lessThan">
      <formula>#REF!</formula>
    </cfRule>
    <cfRule type="cellIs" dxfId="6" priority="8" operator="greaterThanOrEqual">
      <formula>#REF!</formula>
    </cfRule>
    <cfRule type="cellIs" dxfId="5" priority="9" operator="greaterThanOrEqual">
      <formula>#REF!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1"/>
  <sheetViews>
    <sheetView zoomScaleNormal="100" workbookViewId="0">
      <selection activeCell="B29" sqref="B29:I29"/>
    </sheetView>
  </sheetViews>
  <sheetFormatPr defaultColWidth="9.140625" defaultRowHeight="15.75"/>
  <cols>
    <col min="1" max="1" width="3.7109375" style="59" customWidth="1"/>
    <col min="2" max="2" width="9.140625" style="59"/>
    <col min="3" max="3" width="17.7109375" style="59" customWidth="1"/>
    <col min="4" max="4" width="10.85546875" style="59" customWidth="1"/>
    <col min="5" max="5" width="15" style="59" customWidth="1"/>
    <col min="6" max="6" width="11.140625" style="59" customWidth="1"/>
    <col min="7" max="7" width="16.140625" style="59" customWidth="1"/>
    <col min="8" max="8" width="15.140625" style="59" customWidth="1"/>
    <col min="9" max="9" width="18.42578125" style="59" customWidth="1"/>
    <col min="10" max="16384" width="9.140625" style="59"/>
  </cols>
  <sheetData>
    <row r="1" spans="2:13" ht="18.75" customHeight="1">
      <c r="B1" s="539" t="s">
        <v>162</v>
      </c>
      <c r="C1" s="539"/>
      <c r="D1" s="539"/>
      <c r="E1" s="539"/>
      <c r="F1" s="539"/>
      <c r="G1" s="539"/>
      <c r="H1" s="539"/>
      <c r="I1" s="539"/>
    </row>
    <row r="2" spans="2:13">
      <c r="B2" s="540" t="s">
        <v>163</v>
      </c>
      <c r="C2" s="540"/>
      <c r="D2" s="540"/>
      <c r="E2" s="540"/>
      <c r="F2" s="540"/>
      <c r="G2" s="540"/>
      <c r="H2" s="540"/>
      <c r="I2" s="540"/>
    </row>
    <row r="4" spans="2:13" ht="17.25" customHeight="1">
      <c r="B4" s="541" t="s">
        <v>164</v>
      </c>
      <c r="C4" s="541"/>
      <c r="D4" s="251" t="s">
        <v>165</v>
      </c>
      <c r="E4" s="252">
        <v>46264</v>
      </c>
      <c r="F4" s="251" t="s">
        <v>166</v>
      </c>
      <c r="G4" s="252">
        <v>46293</v>
      </c>
      <c r="H4" s="542" t="s">
        <v>167</v>
      </c>
      <c r="I4" s="542"/>
    </row>
    <row r="5" spans="2:13">
      <c r="M5" s="253" t="s">
        <v>168</v>
      </c>
    </row>
    <row r="6" spans="2:13" ht="15" customHeight="1">
      <c r="B6" s="543" t="s">
        <v>426</v>
      </c>
      <c r="C6" s="543"/>
      <c r="D6" s="543" t="s">
        <v>427</v>
      </c>
      <c r="E6" s="543"/>
      <c r="F6" s="543" t="s">
        <v>428</v>
      </c>
      <c r="G6" s="543"/>
      <c r="H6" s="543" t="s">
        <v>436</v>
      </c>
      <c r="I6" s="543"/>
    </row>
    <row r="8" spans="2:13" ht="30.75" customHeight="1">
      <c r="B8" s="254" t="s">
        <v>8</v>
      </c>
      <c r="C8" s="254" t="s">
        <v>7</v>
      </c>
      <c r="D8" s="254" t="s">
        <v>73</v>
      </c>
      <c r="E8" s="255" t="s">
        <v>169</v>
      </c>
      <c r="F8" s="256" t="s">
        <v>170</v>
      </c>
      <c r="G8" s="255" t="s">
        <v>171</v>
      </c>
      <c r="H8" s="254" t="s">
        <v>172</v>
      </c>
      <c r="I8" s="254" t="s">
        <v>173</v>
      </c>
    </row>
    <row r="9" spans="2:13" ht="17.25" customHeight="1">
      <c r="B9" s="257" t="s">
        <v>17</v>
      </c>
      <c r="C9" s="258" t="s">
        <v>96</v>
      </c>
      <c r="D9" s="259" t="s">
        <v>91</v>
      </c>
      <c r="E9" s="260">
        <v>23</v>
      </c>
      <c r="F9" s="261">
        <v>48</v>
      </c>
      <c r="G9" s="262">
        <v>3000</v>
      </c>
      <c r="H9" s="263" t="s">
        <v>440</v>
      </c>
      <c r="I9" s="264" t="s">
        <v>174</v>
      </c>
    </row>
    <row r="10" spans="2:13" ht="17.25" customHeight="1">
      <c r="B10" s="257" t="s">
        <v>17</v>
      </c>
      <c r="C10" s="258" t="s">
        <v>108</v>
      </c>
      <c r="D10" s="259" t="s">
        <v>89</v>
      </c>
      <c r="E10" s="260">
        <v>25</v>
      </c>
      <c r="F10" s="261">
        <v>35</v>
      </c>
      <c r="G10" s="262">
        <v>0</v>
      </c>
      <c r="H10" s="263" t="s">
        <v>441</v>
      </c>
      <c r="I10" s="264" t="s">
        <v>424</v>
      </c>
    </row>
    <row r="11" spans="2:13" ht="17.25" customHeight="1">
      <c r="B11" s="257" t="s">
        <v>17</v>
      </c>
      <c r="C11" s="258" t="s">
        <v>101</v>
      </c>
      <c r="D11" s="259" t="s">
        <v>100</v>
      </c>
      <c r="E11" s="260">
        <v>18</v>
      </c>
      <c r="F11" s="261">
        <v>31</v>
      </c>
      <c r="G11" s="262">
        <v>0</v>
      </c>
      <c r="H11" s="263" t="s">
        <v>442</v>
      </c>
      <c r="I11" s="264" t="s">
        <v>424</v>
      </c>
    </row>
    <row r="12" spans="2:13" ht="17.25" customHeight="1">
      <c r="B12" s="257" t="s">
        <v>17</v>
      </c>
      <c r="C12" s="258" t="s">
        <v>106</v>
      </c>
      <c r="D12" s="259" t="s">
        <v>104</v>
      </c>
      <c r="E12" s="260">
        <v>17</v>
      </c>
      <c r="F12" s="261">
        <v>28</v>
      </c>
      <c r="G12" s="262">
        <v>0</v>
      </c>
      <c r="H12" s="263" t="s">
        <v>443</v>
      </c>
      <c r="I12" s="264" t="s">
        <v>424</v>
      </c>
    </row>
    <row r="13" spans="2:13" ht="17.25" customHeight="1">
      <c r="B13" s="257" t="s">
        <v>18</v>
      </c>
      <c r="C13" s="258" t="s">
        <v>97</v>
      </c>
      <c r="D13" s="259" t="s">
        <v>89</v>
      </c>
      <c r="E13" s="260">
        <v>19</v>
      </c>
      <c r="F13" s="261">
        <v>31</v>
      </c>
      <c r="G13" s="262">
        <v>0</v>
      </c>
      <c r="H13" s="263" t="s">
        <v>442</v>
      </c>
      <c r="I13" s="264" t="s">
        <v>424</v>
      </c>
    </row>
    <row r="14" spans="2:13" ht="17.25" customHeight="1">
      <c r="B14" s="257" t="s">
        <v>18</v>
      </c>
      <c r="C14" s="258" t="s">
        <v>98</v>
      </c>
      <c r="D14" s="259" t="s">
        <v>89</v>
      </c>
      <c r="E14" s="260">
        <v>31</v>
      </c>
      <c r="F14" s="261">
        <v>52</v>
      </c>
      <c r="G14" s="262">
        <v>3000</v>
      </c>
      <c r="H14" s="263" t="s">
        <v>444</v>
      </c>
      <c r="I14" s="264" t="s">
        <v>174</v>
      </c>
    </row>
    <row r="15" spans="2:13" ht="17.25" customHeight="1">
      <c r="B15" s="257" t="s">
        <v>18</v>
      </c>
      <c r="C15" s="258" t="s">
        <v>110</v>
      </c>
      <c r="D15" s="259" t="s">
        <v>104</v>
      </c>
      <c r="E15" s="260">
        <v>18</v>
      </c>
      <c r="F15" s="261">
        <v>31</v>
      </c>
      <c r="G15" s="262">
        <v>0</v>
      </c>
      <c r="H15" s="263" t="s">
        <v>442</v>
      </c>
      <c r="I15" s="264" t="s">
        <v>424</v>
      </c>
    </row>
    <row r="16" spans="2:13" ht="17.25" customHeight="1">
      <c r="B16" s="257" t="s">
        <v>19</v>
      </c>
      <c r="C16" s="258" t="s">
        <v>99</v>
      </c>
      <c r="D16" s="259" t="s">
        <v>100</v>
      </c>
      <c r="E16" s="260">
        <v>21</v>
      </c>
      <c r="F16" s="261">
        <v>40</v>
      </c>
      <c r="G16" s="262">
        <v>0</v>
      </c>
      <c r="H16" s="263" t="s">
        <v>445</v>
      </c>
      <c r="I16" s="264" t="s">
        <v>424</v>
      </c>
    </row>
    <row r="17" spans="2:10" ht="17.25" customHeight="1">
      <c r="B17" s="257" t="s">
        <v>19</v>
      </c>
      <c r="C17" s="258" t="s">
        <v>88</v>
      </c>
      <c r="D17" s="259" t="s">
        <v>89</v>
      </c>
      <c r="E17" s="260">
        <v>40</v>
      </c>
      <c r="F17" s="261">
        <v>70</v>
      </c>
      <c r="G17" s="262">
        <v>8000</v>
      </c>
      <c r="H17" s="263" t="s">
        <v>446</v>
      </c>
      <c r="I17" s="264" t="s">
        <v>447</v>
      </c>
    </row>
    <row r="18" spans="2:10" ht="17.25" customHeight="1">
      <c r="B18" s="257" t="s">
        <v>19</v>
      </c>
      <c r="C18" s="258" t="s">
        <v>107</v>
      </c>
      <c r="D18" s="259" t="s">
        <v>104</v>
      </c>
      <c r="E18" s="260">
        <v>15</v>
      </c>
      <c r="F18" s="261">
        <v>20</v>
      </c>
      <c r="G18" s="262">
        <v>0</v>
      </c>
      <c r="H18" s="263" t="s">
        <v>437</v>
      </c>
      <c r="I18" s="264" t="s">
        <v>424</v>
      </c>
    </row>
    <row r="19" spans="2:10" ht="17.25" customHeight="1">
      <c r="B19" s="257" t="s">
        <v>20</v>
      </c>
      <c r="C19" s="258" t="s">
        <v>93</v>
      </c>
      <c r="D19" s="259" t="s">
        <v>94</v>
      </c>
      <c r="E19" s="260">
        <v>39</v>
      </c>
      <c r="F19" s="261">
        <v>69</v>
      </c>
      <c r="G19" s="262">
        <v>8000</v>
      </c>
      <c r="H19" s="263" t="s">
        <v>448</v>
      </c>
      <c r="I19" s="264" t="s">
        <v>447</v>
      </c>
    </row>
    <row r="20" spans="2:10" ht="17.25" customHeight="1">
      <c r="B20" s="257" t="s">
        <v>20</v>
      </c>
      <c r="C20" s="258" t="s">
        <v>105</v>
      </c>
      <c r="D20" s="259" t="s">
        <v>100</v>
      </c>
      <c r="E20" s="260">
        <v>19</v>
      </c>
      <c r="F20" s="261">
        <v>31</v>
      </c>
      <c r="G20" s="262">
        <v>0</v>
      </c>
      <c r="H20" s="263" t="s">
        <v>442</v>
      </c>
      <c r="I20" s="264" t="s">
        <v>424</v>
      </c>
    </row>
    <row r="21" spans="2:10" ht="17.25" customHeight="1">
      <c r="B21" s="257" t="s">
        <v>20</v>
      </c>
      <c r="C21" s="258" t="s">
        <v>102</v>
      </c>
      <c r="D21" s="259" t="s">
        <v>89</v>
      </c>
      <c r="E21" s="260">
        <v>22</v>
      </c>
      <c r="F21" s="261">
        <v>36</v>
      </c>
      <c r="G21" s="262">
        <v>0</v>
      </c>
      <c r="H21" s="263" t="s">
        <v>449</v>
      </c>
      <c r="I21" s="264" t="s">
        <v>424</v>
      </c>
    </row>
    <row r="22" spans="2:10" ht="17.25" customHeight="1">
      <c r="B22" s="257" t="s">
        <v>20</v>
      </c>
      <c r="C22" s="258" t="s">
        <v>111</v>
      </c>
      <c r="D22" s="259" t="s">
        <v>104</v>
      </c>
      <c r="E22" s="260">
        <v>24</v>
      </c>
      <c r="F22" s="261">
        <v>42</v>
      </c>
      <c r="G22" s="262">
        <v>3000</v>
      </c>
      <c r="H22" s="263" t="s">
        <v>450</v>
      </c>
      <c r="I22" s="264" t="s">
        <v>174</v>
      </c>
    </row>
    <row r="23" spans="2:10" ht="17.25" customHeight="1">
      <c r="B23" s="257" t="s">
        <v>21</v>
      </c>
      <c r="C23" s="258" t="s">
        <v>90</v>
      </c>
      <c r="D23" s="259" t="s">
        <v>91</v>
      </c>
      <c r="E23" s="260">
        <v>31</v>
      </c>
      <c r="F23" s="261">
        <v>47</v>
      </c>
      <c r="G23" s="262">
        <v>3000</v>
      </c>
      <c r="H23" s="263" t="s">
        <v>451</v>
      </c>
      <c r="I23" s="264" t="s">
        <v>174</v>
      </c>
    </row>
    <row r="24" spans="2:10" ht="17.25" customHeight="1">
      <c r="B24" s="257" t="s">
        <v>21</v>
      </c>
      <c r="C24" s="258" t="s">
        <v>109</v>
      </c>
      <c r="D24" s="259" t="s">
        <v>89</v>
      </c>
      <c r="E24" s="260">
        <v>29</v>
      </c>
      <c r="F24" s="261">
        <v>45</v>
      </c>
      <c r="G24" s="262">
        <v>3000</v>
      </c>
      <c r="H24" s="263" t="s">
        <v>452</v>
      </c>
      <c r="I24" s="264" t="s">
        <v>174</v>
      </c>
    </row>
    <row r="25" spans="2:10" ht="17.25" customHeight="1">
      <c r="B25" s="257" t="s">
        <v>21</v>
      </c>
      <c r="C25" s="258" t="s">
        <v>103</v>
      </c>
      <c r="D25" s="506" t="s">
        <v>104</v>
      </c>
      <c r="E25" s="260">
        <v>22</v>
      </c>
      <c r="F25" s="261">
        <v>33</v>
      </c>
      <c r="G25" s="262">
        <v>0</v>
      </c>
      <c r="H25" s="263" t="s">
        <v>453</v>
      </c>
      <c r="I25" s="264" t="s">
        <v>424</v>
      </c>
    </row>
    <row r="26" spans="2:10" ht="17.25" customHeight="1">
      <c r="B26" s="257" t="s">
        <v>21</v>
      </c>
      <c r="C26" s="258" t="s">
        <v>112</v>
      </c>
      <c r="D26" s="259" t="s">
        <v>113</v>
      </c>
      <c r="E26" s="260">
        <v>16</v>
      </c>
      <c r="F26" s="261">
        <v>37</v>
      </c>
      <c r="G26" s="262">
        <v>0</v>
      </c>
      <c r="H26" s="263" t="s">
        <v>454</v>
      </c>
      <c r="I26" s="264" t="s">
        <v>424</v>
      </c>
    </row>
    <row r="27" spans="2:10" ht="17.25" customHeight="1">
      <c r="B27" s="257" t="s">
        <v>22</v>
      </c>
      <c r="C27" s="258" t="s">
        <v>23</v>
      </c>
      <c r="D27" s="506" t="s">
        <v>95</v>
      </c>
      <c r="E27" s="260">
        <v>30</v>
      </c>
      <c r="F27" s="261">
        <v>43</v>
      </c>
      <c r="G27" s="262">
        <v>3000</v>
      </c>
      <c r="H27" s="263" t="s">
        <v>455</v>
      </c>
      <c r="I27" s="264" t="s">
        <v>174</v>
      </c>
    </row>
    <row r="28" spans="2:10" ht="17.25" customHeight="1">
      <c r="B28" s="544" t="s">
        <v>422</v>
      </c>
      <c r="C28" s="538"/>
      <c r="D28" s="538"/>
      <c r="E28" s="265">
        <f>SUM(E9:E27)</f>
        <v>459</v>
      </c>
      <c r="F28" s="265">
        <f>SUM(F9:F27)</f>
        <v>769</v>
      </c>
      <c r="G28" s="266">
        <f>SUM(G9:G27)</f>
        <v>34000</v>
      </c>
      <c r="H28" s="267"/>
    </row>
    <row r="29" spans="2:10" ht="17.25" customHeight="1">
      <c r="B29" s="538"/>
      <c r="C29" s="538"/>
      <c r="D29" s="538"/>
      <c r="E29" s="538"/>
      <c r="F29" s="538"/>
      <c r="G29" s="538"/>
      <c r="H29" s="538"/>
      <c r="I29" s="538"/>
    </row>
    <row r="30" spans="2:10">
      <c r="B30" s="536" t="s">
        <v>429</v>
      </c>
      <c r="C30" s="537"/>
      <c r="D30" s="537"/>
      <c r="E30" s="537"/>
      <c r="F30" s="537"/>
      <c r="G30" s="537"/>
      <c r="H30" s="537"/>
      <c r="I30" s="537"/>
    </row>
    <row r="31" spans="2:10" ht="42" customHeight="1">
      <c r="J31" s="507"/>
    </row>
  </sheetData>
  <mergeCells count="11">
    <mergeCell ref="B30:I30"/>
    <mergeCell ref="B29:I29"/>
    <mergeCell ref="B1:I1"/>
    <mergeCell ref="B2:I2"/>
    <mergeCell ref="B4:C4"/>
    <mergeCell ref="H4:I4"/>
    <mergeCell ref="B6:C6"/>
    <mergeCell ref="D6:E6"/>
    <mergeCell ref="F6:G6"/>
    <mergeCell ref="H6:I6"/>
    <mergeCell ref="B28:D28"/>
  </mergeCells>
  <phoneticPr fontId="14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D9F1"/>
  </sheetPr>
  <dimension ref="A1:AG34"/>
  <sheetViews>
    <sheetView zoomScaleNormal="10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G11" sqref="G11"/>
    </sheetView>
  </sheetViews>
  <sheetFormatPr defaultColWidth="9.140625" defaultRowHeight="18.75"/>
  <cols>
    <col min="1" max="2" width="10" style="61" customWidth="1"/>
    <col min="3" max="3" width="11.5703125" style="61" customWidth="1"/>
    <col min="4" max="4" width="17.42578125" style="61" customWidth="1"/>
    <col min="5" max="5" width="13.5703125" style="61" customWidth="1"/>
    <col min="6" max="6" width="10.5703125" style="61" customWidth="1"/>
    <col min="7" max="7" width="11.140625" style="61" customWidth="1"/>
    <col min="8" max="8" width="10.42578125" style="61" customWidth="1"/>
    <col min="9" max="10" width="11.7109375" style="61" customWidth="1"/>
    <col min="11" max="11" width="9.85546875" style="61" customWidth="1"/>
    <col min="12" max="12" width="11.140625" style="61" customWidth="1"/>
    <col min="13" max="13" width="10.42578125" style="61" customWidth="1"/>
    <col min="14" max="14" width="9.42578125" style="61" customWidth="1"/>
    <col min="15" max="15" width="8.42578125" style="61" customWidth="1"/>
    <col min="16" max="16" width="7.7109375" style="61" customWidth="1"/>
    <col min="17" max="17" width="9.7109375" style="61" customWidth="1"/>
    <col min="18" max="18" width="9.42578125" style="61" customWidth="1"/>
    <col min="19" max="19" width="7.85546875" style="61" customWidth="1"/>
    <col min="20" max="20" width="8.85546875" style="61" customWidth="1"/>
    <col min="21" max="21" width="7.7109375" style="61" customWidth="1"/>
    <col min="22" max="22" width="7.42578125" style="61" customWidth="1"/>
    <col min="23" max="23" width="8.5703125" style="61" customWidth="1"/>
    <col min="24" max="24" width="9" style="61" customWidth="1"/>
    <col min="25" max="25" width="6.5703125" style="61" customWidth="1"/>
    <col min="26" max="27" width="9" style="61" customWidth="1"/>
    <col min="28" max="28" width="7.42578125" style="61" customWidth="1"/>
    <col min="29" max="29" width="14.140625" style="268" customWidth="1"/>
    <col min="30" max="30" width="6" style="268" customWidth="1"/>
    <col min="31" max="31" width="20" style="268" customWidth="1"/>
    <col min="32" max="32" width="15.140625" style="269" customWidth="1"/>
    <col min="33" max="33" width="12.42578125" style="268" customWidth="1"/>
    <col min="34" max="16384" width="9.140625" style="268"/>
  </cols>
  <sheetData>
    <row r="1" spans="1:33" s="61" customFormat="1" ht="36.75" customHeight="1">
      <c r="A1" s="547" t="s">
        <v>175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  <c r="AB1" s="547"/>
      <c r="AC1" s="547"/>
      <c r="AE1" s="270" t="s">
        <v>176</v>
      </c>
      <c r="AF1" s="271"/>
    </row>
    <row r="2" spans="1:33" s="61" customFormat="1" ht="26.25" customHeight="1">
      <c r="A2" s="548" t="s">
        <v>177</v>
      </c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E2" s="272" t="s">
        <v>178</v>
      </c>
      <c r="AF2" s="273">
        <v>46264</v>
      </c>
    </row>
    <row r="3" spans="1:33" ht="16.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E3" s="274" t="s">
        <v>179</v>
      </c>
      <c r="AF3" s="275">
        <f ca="1">TODAY()-1</f>
        <v>46290</v>
      </c>
    </row>
    <row r="4" spans="1:33" s="61" customFormat="1" ht="30" customHeight="1">
      <c r="A4" s="549" t="s">
        <v>63</v>
      </c>
      <c r="B4" s="549"/>
      <c r="C4" s="549"/>
      <c r="D4" s="550" t="s">
        <v>180</v>
      </c>
      <c r="E4" s="550"/>
      <c r="F4" s="551" t="s">
        <v>181</v>
      </c>
      <c r="G4" s="551"/>
      <c r="H4" s="551"/>
      <c r="I4" s="551"/>
      <c r="J4" s="552" t="s">
        <v>182</v>
      </c>
      <c r="K4" s="552"/>
      <c r="L4" s="552"/>
      <c r="M4" s="552"/>
      <c r="N4" s="553" t="s">
        <v>183</v>
      </c>
      <c r="O4" s="553"/>
      <c r="P4" s="553"/>
      <c r="Q4" s="553" t="s">
        <v>184</v>
      </c>
      <c r="R4" s="553"/>
      <c r="S4" s="553"/>
      <c r="T4" s="554" t="s">
        <v>185</v>
      </c>
      <c r="U4" s="554"/>
      <c r="V4" s="554"/>
      <c r="W4" s="553" t="s">
        <v>186</v>
      </c>
      <c r="X4" s="553"/>
      <c r="Y4" s="553"/>
      <c r="Z4" s="554" t="s">
        <v>187</v>
      </c>
      <c r="AA4" s="554"/>
      <c r="AB4" s="554"/>
      <c r="AC4" s="276"/>
      <c r="AE4" s="277" t="s">
        <v>188</v>
      </c>
      <c r="AF4" s="277">
        <f ca="1">TODAY()-$AF$2</f>
        <v>27</v>
      </c>
    </row>
    <row r="5" spans="1:33" s="119" customFormat="1" ht="45.75" customHeight="1">
      <c r="A5" s="278" t="s">
        <v>8</v>
      </c>
      <c r="B5" s="279" t="s">
        <v>7</v>
      </c>
      <c r="C5" s="279" t="s">
        <v>73</v>
      </c>
      <c r="D5" s="280" t="s">
        <v>189</v>
      </c>
      <c r="E5" s="281" t="s">
        <v>171</v>
      </c>
      <c r="F5" s="282" t="s">
        <v>190</v>
      </c>
      <c r="G5" s="283" t="s">
        <v>191</v>
      </c>
      <c r="H5" s="284" t="s">
        <v>49</v>
      </c>
      <c r="I5" s="285" t="s">
        <v>192</v>
      </c>
      <c r="J5" s="282" t="s">
        <v>193</v>
      </c>
      <c r="K5" s="283" t="s">
        <v>194</v>
      </c>
      <c r="L5" s="284" t="s">
        <v>49</v>
      </c>
      <c r="M5" s="285" t="s">
        <v>192</v>
      </c>
      <c r="N5" s="286" t="s">
        <v>195</v>
      </c>
      <c r="O5" s="286" t="s">
        <v>196</v>
      </c>
      <c r="P5" s="287" t="s">
        <v>192</v>
      </c>
      <c r="Q5" s="286" t="s">
        <v>197</v>
      </c>
      <c r="R5" s="286" t="s">
        <v>198</v>
      </c>
      <c r="S5" s="287" t="s">
        <v>192</v>
      </c>
      <c r="T5" s="284" t="s">
        <v>199</v>
      </c>
      <c r="U5" s="284" t="s">
        <v>200</v>
      </c>
      <c r="V5" s="287" t="s">
        <v>192</v>
      </c>
      <c r="W5" s="286" t="s">
        <v>201</v>
      </c>
      <c r="X5" s="286" t="s">
        <v>202</v>
      </c>
      <c r="Y5" s="287" t="s">
        <v>192</v>
      </c>
      <c r="Z5" s="284" t="s">
        <v>203</v>
      </c>
      <c r="AA5" s="284" t="s">
        <v>204</v>
      </c>
      <c r="AB5" s="287" t="s">
        <v>192</v>
      </c>
      <c r="AC5" s="288" t="s">
        <v>205</v>
      </c>
      <c r="AE5" s="289" t="s">
        <v>206</v>
      </c>
      <c r="AF5" s="289">
        <v>30</v>
      </c>
    </row>
    <row r="6" spans="1:33" ht="24.75" customHeight="1">
      <c r="A6" s="290" t="s">
        <v>17</v>
      </c>
      <c r="B6" s="291" t="s">
        <v>96</v>
      </c>
      <c r="C6" s="291" t="s">
        <v>91</v>
      </c>
      <c r="D6" s="292">
        <f t="shared" ref="D6:D25" ca="1" si="0">SUM(I6,M6,P6,S6,V6,Y6,AB6)</f>
        <v>9.5491030918024276</v>
      </c>
      <c r="E6" s="293">
        <f t="shared" ref="E6:E25" ca="1" si="1">IF(D6&gt;=20,9000,IF(D6&gt;=18,8000,IF(D6&gt;=16,7000,IF(D6&gt;=14,6000,IF(D6&gt;=12,5000,IF(D6&gt;=10,4000,IF(D6&gt;=8,3000,0)))))))</f>
        <v>3000</v>
      </c>
      <c r="F6" s="294">
        <f>SUMIF(■我的大類_重點目標!$C:$C,$B6,■我的大類_重點目標!$H:$H)</f>
        <v>307</v>
      </c>
      <c r="G6" s="295">
        <f>SUMIF(數據!$A:$A,$B6,數據!$I:$I)</f>
        <v>143.25</v>
      </c>
      <c r="H6" s="296">
        <f t="shared" ref="H6:H25" ca="1" si="2">IFERROR(G6/F6*($AF$5/$AF$4),0)</f>
        <v>0.51845819761129208</v>
      </c>
      <c r="I6" s="297">
        <f t="shared" ref="I6:I25" ca="1" si="3">MIN(H6,1)*4</f>
        <v>2.0738327904451683</v>
      </c>
      <c r="J6" s="298">
        <f>SUMIF(■我的大類_重點目標!$C:$C,$B6,■我的大類_重點目標!$I:$I)</f>
        <v>56</v>
      </c>
      <c r="K6" s="299">
        <f>SUMIF(數據!$A:$A,$B6,數據!$J:$J)+SUMIF(數據!$A:$A,$B6,數據!$K:$K)</f>
        <v>22</v>
      </c>
      <c r="L6" s="296">
        <f t="shared" ref="L6:L25" ca="1" si="4">IFERROR(K6/J6*($AF$5/$AF$4),0)</f>
        <v>0.43650793650793651</v>
      </c>
      <c r="M6" s="300">
        <f t="shared" ref="M6:M25" ca="1" si="5">MIN(L6,1)*4</f>
        <v>1.746031746031746</v>
      </c>
      <c r="N6" s="299">
        <f>SUMIF(■我的大類_重點目標!$C:$C,$B6,■我的大類_重點目標!$J:$J)</f>
        <v>21</v>
      </c>
      <c r="O6" s="299">
        <f>SUMIF(數據!$A:$A,$B6,數據!$L:$L)+SUMIF(數據!$A:$A,$B6,數據!$M:$M)</f>
        <v>5</v>
      </c>
      <c r="P6" s="301">
        <f t="shared" ref="P6:P25" ca="1" si="6">MIN(IFERROR(O6/N6*($AF$5/$AF$4),0),1)*2</f>
        <v>0.52910052910052907</v>
      </c>
      <c r="Q6" s="299">
        <f>SUMIF(■我的大類_重點目標!$C:$C,$B6,■我的大類_重點目標!$L:$L)</f>
        <v>17</v>
      </c>
      <c r="R6" s="299">
        <f>SUMIF(數據!$A:$A,$B6,數據!$R:$R)+SUMIF(數據!$A:$A,$B6,數據!$S:$S)</f>
        <v>7</v>
      </c>
      <c r="S6" s="301">
        <f t="shared" ref="S6:S25" ca="1" si="7">MIN(IFERROR(R6/Q6*($AF$5/$AF$4),0),1)*2</f>
        <v>0.91503267973856206</v>
      </c>
      <c r="T6" s="299">
        <f>SUMIF(■我的大類_重點目標!$C:$C,$B6,■我的大類_重點目標!$M:$M)</f>
        <v>17</v>
      </c>
      <c r="U6" s="299">
        <f>SUMIF(數據!$A:$A,$B6,數據!$N:$N)+SUMIF(數據!$A:$A,$B6,數據!$O:$O)</f>
        <v>10</v>
      </c>
      <c r="V6" s="301">
        <f t="shared" ref="V6:V25" ca="1" si="8">MIN(IFERROR(U6/T6*($AF$5/$AF$4),0),1)*2</f>
        <v>1.3071895424836601</v>
      </c>
      <c r="W6" s="299">
        <f>SUMIF(■我的大類_重點目標!$C:$C,$B6,■我的大類_重點目標!$N:$N)</f>
        <v>46</v>
      </c>
      <c r="X6" s="299">
        <f>SUMIF(數據!$A:$A,$B6,數據!$V:$V)+SUMIF(數據!$A:$A,$B6,數據!$W:$W)</f>
        <v>17</v>
      </c>
      <c r="Y6" s="301">
        <f ca="1">MIN(IFERROR(X6/W6*($AF$5/$AF$4),0),1)*3</f>
        <v>1.2318840579710144</v>
      </c>
      <c r="Z6" s="295">
        <f>SUMIF(■我的大類_重點目標!$C:$C,$B6,■我的大類_重點目標!$O:$O)</f>
        <v>21</v>
      </c>
      <c r="AA6" s="295">
        <f>SUMIF(數據!$A:$A,$B6,數據!$X:$X)+SUMIF(數據!$A:$A,$B6,數據!$Y:$Y)</f>
        <v>11</v>
      </c>
      <c r="AB6" s="301">
        <f ca="1">MIN(IFERROR(AA6/Z6*($AF$5/$AF$4),0),1)*3</f>
        <v>1.7460317460317463</v>
      </c>
      <c r="AC6" s="302">
        <f t="shared" ref="AC6:AC25" ca="1" si="9">SUM(I6,M6,P6,S6,V6,Y6,AB6)</f>
        <v>9.5491030918024276</v>
      </c>
      <c r="AE6" s="303">
        <v>20</v>
      </c>
      <c r="AF6" s="304" t="s">
        <v>207</v>
      </c>
      <c r="AG6" s="304">
        <v>9000</v>
      </c>
    </row>
    <row r="7" spans="1:33" ht="24.75" customHeight="1">
      <c r="A7" s="290" t="s">
        <v>17</v>
      </c>
      <c r="B7" s="291" t="s">
        <v>108</v>
      </c>
      <c r="C7" s="291" t="s">
        <v>89</v>
      </c>
      <c r="D7" s="292">
        <f t="shared" ref="D7:D21" ca="1" si="10">SUM(I7,M7,P7,S7,V7,Y7,AB7)</f>
        <v>13.559183064997018</v>
      </c>
      <c r="E7" s="293">
        <f t="shared" ref="E7:E21" ca="1" si="11">IF(D7&gt;=20,9000,IF(D7&gt;=18,8000,IF(D7&gt;=16,7000,IF(D7&gt;=14,6000,IF(D7&gt;=12,5000,IF(D7&gt;=10,4000,IF(D7&gt;=8,3000,0)))))))</f>
        <v>5000</v>
      </c>
      <c r="F7" s="294">
        <f>SUMIF(■我的大類_重點目標!$C:$C,$B7,■我的大類_重點目標!$H:$H)</f>
        <v>288</v>
      </c>
      <c r="G7" s="295">
        <f>SUMIF(數據!$A:$A,$B7,數據!$I:$I)</f>
        <v>216</v>
      </c>
      <c r="H7" s="296">
        <f t="shared" ref="H7:H21" ca="1" si="12">IFERROR(G7/F7*($AF$5/$AF$4),0)</f>
        <v>0.83333333333333337</v>
      </c>
      <c r="I7" s="297">
        <f t="shared" ref="I7:I21" ca="1" si="13">MIN(H7,1)*4</f>
        <v>3.3333333333333335</v>
      </c>
      <c r="J7" s="298">
        <f>SUMIF(■我的大類_重點目標!$C:$C,$B7,■我的大類_重點目標!$I:$I)</f>
        <v>52</v>
      </c>
      <c r="K7" s="299">
        <f>SUMIF(數據!$A:$A,$B7,數據!$J:$J)+SUMIF(數據!$A:$A,$B7,數據!$K:$K)</f>
        <v>28</v>
      </c>
      <c r="L7" s="296">
        <f t="shared" ref="L7:L21" ca="1" si="14">IFERROR(K7/J7*($AF$5/$AF$4),0)</f>
        <v>0.59829059829059827</v>
      </c>
      <c r="M7" s="300">
        <f t="shared" ref="M7:M21" ca="1" si="15">MIN(L7,1)*4</f>
        <v>2.3931623931623931</v>
      </c>
      <c r="N7" s="299">
        <f>SUMIF(■我的大類_重點目標!$C:$C,$B7,■我的大類_重點目標!$J:$J)</f>
        <v>20</v>
      </c>
      <c r="O7" s="299">
        <f>SUMIF(數據!$A:$A,$B7,數據!$L:$L)+SUMIF(數據!$A:$A,$B7,數據!$M:$M)</f>
        <v>11</v>
      </c>
      <c r="P7" s="301">
        <f t="shared" ref="P7:P21" ca="1" si="16">MIN(IFERROR(O7/N7*($AF$5/$AF$4),0),1)*2</f>
        <v>1.2222222222222223</v>
      </c>
      <c r="Q7" s="299">
        <f>SUMIF(■我的大類_重點目標!$C:$C,$B7,■我的大類_重點目標!$L:$L)</f>
        <v>15</v>
      </c>
      <c r="R7" s="299">
        <f>SUMIF(數據!$A:$A,$B7,數據!$R:$R)+SUMIF(數據!$A:$A,$B7,數據!$S:$S)</f>
        <v>11</v>
      </c>
      <c r="S7" s="301">
        <f t="shared" ref="S7:S21" ca="1" si="17">MIN(IFERROR(R7/Q7*($AF$5/$AF$4),0),1)*2</f>
        <v>1.6296296296296295</v>
      </c>
      <c r="T7" s="299">
        <f>SUMIF(■我的大類_重點目標!$C:$C,$B7,■我的大類_重點目標!$M:$M)</f>
        <v>15</v>
      </c>
      <c r="U7" s="299">
        <f>SUMIF(數據!$A:$A,$B7,數據!$N:$N)+SUMIF(數據!$A:$A,$B7,數據!$O:$O)</f>
        <v>7</v>
      </c>
      <c r="V7" s="301">
        <f t="shared" ref="V7:V21" ca="1" si="18">MIN(IFERROR(U7/T7*($AF$5/$AF$4),0),1)*2</f>
        <v>1.0370370370370372</v>
      </c>
      <c r="W7" s="299">
        <f>SUMIF(■我的大類_重點目標!$C:$C,$B7,■我的大類_重點目標!$N:$N)</f>
        <v>43</v>
      </c>
      <c r="X7" s="299">
        <f>SUMIF(數據!$A:$A,$B7,數據!$V:$V)+SUMIF(數據!$A:$A,$B7,數據!$W:$W)</f>
        <v>24</v>
      </c>
      <c r="Y7" s="301">
        <f t="shared" ref="Y7:Y25" ca="1" si="19">MIN(IFERROR(X7/W7*($AF$5/$AF$4),0),1)*3</f>
        <v>1.8604651162790697</v>
      </c>
      <c r="Z7" s="295">
        <f>SUMIF(■我的大類_重點目標!$C:$C,$B7,■我的大類_重點目標!$O:$O)</f>
        <v>20</v>
      </c>
      <c r="AA7" s="295">
        <f>SUMIF(數據!$A:$A,$B7,數據!$X:$X)+SUMIF(數據!$A:$A,$B7,數據!$Y:$Y)</f>
        <v>12.5</v>
      </c>
      <c r="AB7" s="301">
        <f t="shared" ref="AB7:AB25" ca="1" si="20">MIN(IFERROR(AA7/Z7*($AF$5/$AF$4),0),1)*3</f>
        <v>2.083333333333333</v>
      </c>
      <c r="AC7" s="302">
        <f t="shared" ref="AC7:AC21" ca="1" si="21">SUM(I7,M7,P7,S7,V7,Y7,AB7)</f>
        <v>13.559183064997018</v>
      </c>
      <c r="AE7" s="488">
        <v>19</v>
      </c>
      <c r="AF7" s="489" t="s">
        <v>208</v>
      </c>
      <c r="AG7" s="489">
        <v>8000</v>
      </c>
    </row>
    <row r="8" spans="1:33" ht="24.75" customHeight="1">
      <c r="A8" s="290" t="s">
        <v>17</v>
      </c>
      <c r="B8" s="291" t="s">
        <v>101</v>
      </c>
      <c r="C8" s="291" t="s">
        <v>100</v>
      </c>
      <c r="D8" s="292">
        <f t="shared" ca="1" si="10"/>
        <v>9.0059214907511294</v>
      </c>
      <c r="E8" s="293">
        <f t="shared" ca="1" si="11"/>
        <v>3000</v>
      </c>
      <c r="F8" s="294">
        <f>SUMIF(■我的大類_重點目標!$C:$C,$B8,■我的大類_重點目標!$H:$H)</f>
        <v>269</v>
      </c>
      <c r="G8" s="295">
        <f>SUMIF(數據!$A:$A,$B8,數據!$I:$I)</f>
        <v>113.45</v>
      </c>
      <c r="H8" s="296">
        <f t="shared" ca="1" si="12"/>
        <v>0.4686080132176787</v>
      </c>
      <c r="I8" s="297">
        <f t="shared" ca="1" si="13"/>
        <v>1.8744320528707148</v>
      </c>
      <c r="J8" s="298">
        <f>SUMIF(■我的大類_重點目標!$C:$C,$B8,■我的大類_重點目標!$I:$I)</f>
        <v>49</v>
      </c>
      <c r="K8" s="299">
        <f>SUMIF(數據!$A:$A,$B8,數據!$J:$J)+SUMIF(數據!$A:$A,$B8,數據!$K:$K)</f>
        <v>16</v>
      </c>
      <c r="L8" s="296">
        <f t="shared" ca="1" si="14"/>
        <v>0.36281179138321995</v>
      </c>
      <c r="M8" s="300">
        <f t="shared" ca="1" si="15"/>
        <v>1.4512471655328798</v>
      </c>
      <c r="N8" s="299">
        <f>SUMIF(■我的大類_重點目標!$C:$C,$B8,■我的大類_重點目標!$J:$J)</f>
        <v>19</v>
      </c>
      <c r="O8" s="299">
        <f>SUMIF(數據!$A:$A,$B8,數據!$L:$L)+SUMIF(數據!$A:$A,$B8,數據!$M:$M)</f>
        <v>9</v>
      </c>
      <c r="P8" s="301">
        <f t="shared" ca="1" si="16"/>
        <v>1.0526315789473684</v>
      </c>
      <c r="Q8" s="299">
        <f>SUMIF(■我的大類_重點目標!$C:$C,$B8,■我的大類_重點目標!$L:$L)</f>
        <v>14</v>
      </c>
      <c r="R8" s="299">
        <f>SUMIF(數據!$A:$A,$B8,數據!$R:$R)+SUMIF(數據!$A:$A,$B8,數據!$S:$S)</f>
        <v>4</v>
      </c>
      <c r="S8" s="301">
        <f t="shared" ca="1" si="17"/>
        <v>0.63492063492063489</v>
      </c>
      <c r="T8" s="299">
        <f>SUMIF(■我的大類_重點目標!$C:$C,$B8,■我的大類_重點目標!$M:$M)</f>
        <v>14</v>
      </c>
      <c r="U8" s="299">
        <f>SUMIF(數據!$A:$A,$B8,數據!$N:$N)+SUMIF(數據!$A:$A,$B8,數據!$O:$O)</f>
        <v>7</v>
      </c>
      <c r="V8" s="301">
        <f t="shared" ca="1" si="18"/>
        <v>1.1111111111111112</v>
      </c>
      <c r="W8" s="299">
        <f>SUMIF(■我的大類_重點目標!$C:$C,$B8,■我的大類_重點目標!$N:$N)</f>
        <v>40</v>
      </c>
      <c r="X8" s="299">
        <f>SUMIF(數據!$A:$A,$B8,數據!$V:$V)+SUMIF(數據!$A:$A,$B8,數據!$W:$W)</f>
        <v>13</v>
      </c>
      <c r="Y8" s="301">
        <f t="shared" ca="1" si="19"/>
        <v>1.0833333333333335</v>
      </c>
      <c r="Z8" s="295">
        <f>SUMIF(■我的大類_重點目標!$C:$C,$B8,■我的大類_重點目標!$O:$O)</f>
        <v>19</v>
      </c>
      <c r="AA8" s="295">
        <f>SUMIF(數據!$A:$A,$B8,數據!$X:$X)+SUMIF(數據!$A:$A,$B8,數據!$Y:$Y)</f>
        <v>10.25</v>
      </c>
      <c r="AB8" s="301">
        <f t="shared" ca="1" si="20"/>
        <v>1.7982456140350878</v>
      </c>
      <c r="AC8" s="302">
        <f t="shared" ca="1" si="21"/>
        <v>9.0059214907511294</v>
      </c>
      <c r="AE8" s="488">
        <v>18</v>
      </c>
      <c r="AF8" s="489" t="s">
        <v>208</v>
      </c>
      <c r="AG8" s="489">
        <v>8000</v>
      </c>
    </row>
    <row r="9" spans="1:33" ht="24.75" customHeight="1">
      <c r="A9" s="290" t="s">
        <v>17</v>
      </c>
      <c r="B9" s="291" t="s">
        <v>106</v>
      </c>
      <c r="C9" s="291" t="s">
        <v>104</v>
      </c>
      <c r="D9" s="292">
        <f t="shared" ca="1" si="10"/>
        <v>9.3751480931220783</v>
      </c>
      <c r="E9" s="293">
        <f t="shared" ca="1" si="11"/>
        <v>3000</v>
      </c>
      <c r="F9" s="294">
        <f>SUMIF(■我的大類_重點目標!$C:$C,$B9,■我的大類_重點目標!$H:$H)</f>
        <v>236</v>
      </c>
      <c r="G9" s="295">
        <f>SUMIF(數據!$A:$A,$B9,數據!$I:$I)</f>
        <v>84.75</v>
      </c>
      <c r="H9" s="296">
        <f t="shared" ca="1" si="12"/>
        <v>0.39901129943502828</v>
      </c>
      <c r="I9" s="297">
        <f t="shared" ca="1" si="13"/>
        <v>1.5960451977401131</v>
      </c>
      <c r="J9" s="298">
        <f>SUMIF(■我的大類_重點目標!$C:$C,$B9,■我的大類_重點目標!$I:$I)</f>
        <v>43</v>
      </c>
      <c r="K9" s="299">
        <f>SUMIF(數據!$A:$A,$B9,數據!$J:$J)+SUMIF(數據!$A:$A,$B9,數據!$K:$K)</f>
        <v>16</v>
      </c>
      <c r="L9" s="296">
        <f t="shared" ca="1" si="14"/>
        <v>0.41343669250645998</v>
      </c>
      <c r="M9" s="300">
        <f t="shared" ca="1" si="15"/>
        <v>1.6537467700258399</v>
      </c>
      <c r="N9" s="299">
        <f>SUMIF(■我的大類_重點目標!$C:$C,$B9,■我的大類_重點目標!$J:$J)</f>
        <v>16</v>
      </c>
      <c r="O9" s="299">
        <f>SUMIF(數據!$A:$A,$B9,數據!$L:$L)+SUMIF(數據!$A:$A,$B9,數據!$M:$M)</f>
        <v>5</v>
      </c>
      <c r="P9" s="301">
        <f t="shared" ca="1" si="16"/>
        <v>0.69444444444444442</v>
      </c>
      <c r="Q9" s="299">
        <f>SUMIF(■我的大類_重點目標!$C:$C,$B9,■我的大類_重點目標!$L:$L)</f>
        <v>13</v>
      </c>
      <c r="R9" s="299">
        <f>SUMIF(數據!$A:$A,$B9,數據!$R:$R)+SUMIF(數據!$A:$A,$B9,數據!$S:$S)</f>
        <v>3</v>
      </c>
      <c r="S9" s="301">
        <f t="shared" ca="1" si="17"/>
        <v>0.51282051282051289</v>
      </c>
      <c r="T9" s="299">
        <f>SUMIF(■我的大類_重點目標!$C:$C,$B9,■我的大類_重點目標!$M:$M)</f>
        <v>13</v>
      </c>
      <c r="U9" s="299">
        <f>SUMIF(數據!$A:$A,$B9,數據!$N:$N)+SUMIF(數據!$A:$A,$B9,數據!$O:$O)</f>
        <v>9</v>
      </c>
      <c r="V9" s="301">
        <f t="shared" ca="1" si="18"/>
        <v>1.5384615384615385</v>
      </c>
      <c r="W9" s="299">
        <f>SUMIF(■我的大類_重點目標!$C:$C,$B9,■我的大類_重點目標!$N:$N)</f>
        <v>36</v>
      </c>
      <c r="X9" s="299">
        <f>SUMIF(數據!$A:$A,$B9,數據!$V:$V)+SUMIF(數據!$A:$A,$B9,數據!$W:$W)</f>
        <v>14</v>
      </c>
      <c r="Y9" s="301">
        <f t="shared" ca="1" si="19"/>
        <v>1.2962962962962963</v>
      </c>
      <c r="Z9" s="295">
        <f>SUMIF(■我的大類_重點目標!$C:$C,$B9,■我的大類_重點目標!$O:$O)</f>
        <v>16</v>
      </c>
      <c r="AA9" s="295">
        <f>SUMIF(數據!$A:$A,$B9,數據!$X:$X)+SUMIF(數據!$A:$A,$B9,數據!$Y:$Y)</f>
        <v>10</v>
      </c>
      <c r="AB9" s="301">
        <f t="shared" ca="1" si="20"/>
        <v>2.083333333333333</v>
      </c>
      <c r="AC9" s="302">
        <f t="shared" ca="1" si="21"/>
        <v>9.3751480931220783</v>
      </c>
      <c r="AE9" s="488">
        <v>17</v>
      </c>
      <c r="AF9" s="489" t="s">
        <v>208</v>
      </c>
      <c r="AG9" s="489">
        <v>7000</v>
      </c>
    </row>
    <row r="10" spans="1:33" ht="24.75" customHeight="1">
      <c r="A10" s="290" t="s">
        <v>22</v>
      </c>
      <c r="B10" s="291" t="s">
        <v>23</v>
      </c>
      <c r="C10" s="291" t="s">
        <v>95</v>
      </c>
      <c r="D10" s="292">
        <f t="shared" ca="1" si="10"/>
        <v>16.496489621489623</v>
      </c>
      <c r="E10" s="293">
        <f t="shared" ca="1" si="11"/>
        <v>7000</v>
      </c>
      <c r="F10" s="294">
        <f>SUMIF(■我的大類_重點目標!$C:$C,$B10,■我的大類_重點目標!$H:$H)</f>
        <v>232</v>
      </c>
      <c r="G10" s="295">
        <f>SUMIF(數據!$A:$A,$B10,數據!$I:$I)</f>
        <v>218.25</v>
      </c>
      <c r="H10" s="296">
        <f t="shared" ca="1" si="12"/>
        <v>1.0452586206896552</v>
      </c>
      <c r="I10" s="297">
        <f t="shared" ca="1" si="13"/>
        <v>4</v>
      </c>
      <c r="J10" s="298">
        <f>SUMIF(■我的大類_重點目標!$C:$C,$B10,■我的大類_重點目標!$I:$I)</f>
        <v>42</v>
      </c>
      <c r="K10" s="299">
        <f>SUMIF(數據!$A:$A,$B10,數據!$J:$J)+SUMIF(數據!$A:$A,$B10,數據!$K:$K)</f>
        <v>33</v>
      </c>
      <c r="L10" s="296">
        <f t="shared" ca="1" si="14"/>
        <v>0.87301587301587302</v>
      </c>
      <c r="M10" s="300">
        <f t="shared" ca="1" si="15"/>
        <v>3.4920634920634921</v>
      </c>
      <c r="N10" s="299">
        <f>SUMIF(■我的大類_重點目標!$C:$C,$B10,■我的大類_重點目標!$J:$J)</f>
        <v>16</v>
      </c>
      <c r="O10" s="299">
        <f>SUMIF(數據!$A:$A,$B10,數據!$L:$L)+SUMIF(數據!$A:$A,$B10,數據!$M:$M)</f>
        <v>12</v>
      </c>
      <c r="P10" s="301">
        <f t="shared" ca="1" si="16"/>
        <v>1.6666666666666667</v>
      </c>
      <c r="Q10" s="299">
        <f>SUMIF(■我的大類_重點目標!$C:$C,$B10,■我的大類_重點目標!$L:$L)</f>
        <v>13</v>
      </c>
      <c r="R10" s="299">
        <f>SUMIF(數據!$A:$A,$B10,數據!$R:$R)+SUMIF(數據!$A:$A,$B10,數據!$S:$S)</f>
        <v>8</v>
      </c>
      <c r="S10" s="301">
        <f t="shared" ca="1" si="17"/>
        <v>1.3675213675213675</v>
      </c>
      <c r="T10" s="299">
        <f>SUMIF(■我的大類_重點目標!$C:$C,$B10,■我的大類_重點目標!$M:$M)</f>
        <v>11</v>
      </c>
      <c r="U10" s="299">
        <f>SUMIF(數據!$A:$A,$B10,數據!$N:$N)+SUMIF(數據!$A:$A,$B10,數據!$O:$O)</f>
        <v>14</v>
      </c>
      <c r="V10" s="301">
        <f t="shared" ca="1" si="18"/>
        <v>2</v>
      </c>
      <c r="W10" s="299">
        <f>SUMIF(■我的大類_重點目標!$C:$C,$B10,■我的大類_重點目標!$N:$N)</f>
        <v>35</v>
      </c>
      <c r="X10" s="299">
        <f>SUMIF(數據!$A:$A,$B10,數據!$V:$V)+SUMIF(數據!$A:$A,$B10,數據!$W:$W)</f>
        <v>22</v>
      </c>
      <c r="Y10" s="301">
        <f t="shared" ca="1" si="19"/>
        <v>2.0952380952380953</v>
      </c>
      <c r="Z10" s="295">
        <f>SUMIF(■我的大類_重點目標!$C:$C,$B10,■我的大類_重點目標!$O:$O)</f>
        <v>16</v>
      </c>
      <c r="AA10" s="295">
        <f>SUMIF(數據!$A:$A,$B10,數據!$X:$X)+SUMIF(數據!$A:$A,$B10,數據!$Y:$Y)</f>
        <v>9</v>
      </c>
      <c r="AB10" s="301">
        <f t="shared" ca="1" si="20"/>
        <v>1.875</v>
      </c>
      <c r="AC10" s="302">
        <f t="shared" ca="1" si="21"/>
        <v>16.496489621489623</v>
      </c>
      <c r="AE10" s="305">
        <v>16</v>
      </c>
      <c r="AF10" s="306" t="s">
        <v>210</v>
      </c>
      <c r="AG10" s="306">
        <v>7000</v>
      </c>
    </row>
    <row r="11" spans="1:33" ht="24.75" customHeight="1">
      <c r="A11" s="290" t="s">
        <v>18</v>
      </c>
      <c r="B11" s="291" t="s">
        <v>97</v>
      </c>
      <c r="C11" s="291" t="s">
        <v>89</v>
      </c>
      <c r="D11" s="292">
        <f t="shared" ca="1" si="10"/>
        <v>5.7414557023031492</v>
      </c>
      <c r="E11" s="293">
        <f t="shared" ca="1" si="11"/>
        <v>0</v>
      </c>
      <c r="F11" s="294">
        <f>SUMIF(■我的大類_重點目標!$C:$C,$B11,■我的大類_重點目標!$H:$H)</f>
        <v>293</v>
      </c>
      <c r="G11" s="295">
        <f>SUMIF(數據!$A:$A,$B11,數據!$I:$I)</f>
        <v>87.55</v>
      </c>
      <c r="H11" s="296">
        <f t="shared" ca="1" si="12"/>
        <v>0.33200606750094808</v>
      </c>
      <c r="I11" s="297">
        <f t="shared" ca="1" si="13"/>
        <v>1.3280242700037923</v>
      </c>
      <c r="J11" s="298">
        <f>SUMIF(■我的大類_重點目標!$C:$C,$B11,■我的大類_重點目標!$I:$I)</f>
        <v>53</v>
      </c>
      <c r="K11" s="299">
        <f>SUMIF(數據!$A:$A,$B11,數據!$J:$J)+SUMIF(數據!$A:$A,$B11,數據!$K:$K)</f>
        <v>14</v>
      </c>
      <c r="L11" s="296">
        <f t="shared" ca="1" si="14"/>
        <v>0.29350104821802936</v>
      </c>
      <c r="M11" s="300">
        <f t="shared" ca="1" si="15"/>
        <v>1.1740041928721174</v>
      </c>
      <c r="N11" s="299">
        <f>SUMIF(■我的大類_重點目標!$C:$C,$B11,■我的大類_重點目標!$J:$J)</f>
        <v>20</v>
      </c>
      <c r="O11" s="299">
        <f>SUMIF(數據!$A:$A,$B11,數據!$L:$L)+SUMIF(數據!$A:$A,$B11,數據!$M:$M)</f>
        <v>4</v>
      </c>
      <c r="P11" s="301">
        <f t="shared" ca="1" si="16"/>
        <v>0.44444444444444448</v>
      </c>
      <c r="Q11" s="299">
        <f>SUMIF(■我的大類_重點目標!$C:$C,$B11,■我的大類_重點目標!$L:$L)</f>
        <v>16</v>
      </c>
      <c r="R11" s="299">
        <f>SUMIF(數據!$A:$A,$B11,數據!$R:$R)+SUMIF(數據!$A:$A,$B11,數據!$S:$S)</f>
        <v>6</v>
      </c>
      <c r="S11" s="301">
        <f t="shared" ca="1" si="17"/>
        <v>0.83333333333333337</v>
      </c>
      <c r="T11" s="299">
        <f>SUMIF(■我的大類_重點目標!$C:$C,$B11,■我的大類_重點目標!$M:$M)</f>
        <v>13</v>
      </c>
      <c r="U11" s="299">
        <f>SUMIF(數據!$A:$A,$B11,數據!$N:$N)+SUMIF(數據!$A:$A,$B11,數據!$O:$O)</f>
        <v>2</v>
      </c>
      <c r="V11" s="301">
        <f t="shared" ca="1" si="18"/>
        <v>0.34188034188034189</v>
      </c>
      <c r="W11" s="299">
        <f>SUMIF(■我的大類_重點目標!$C:$C,$B11,■我的大類_重點目標!$N:$N)</f>
        <v>44</v>
      </c>
      <c r="X11" s="299">
        <f>SUMIF(數據!$A:$A,$B11,數據!$V:$V)+SUMIF(數據!$A:$A,$B11,數據!$W:$W)</f>
        <v>13</v>
      </c>
      <c r="Y11" s="301">
        <f t="shared" ca="1" si="19"/>
        <v>0.98484848484848486</v>
      </c>
      <c r="Z11" s="295">
        <f>SUMIF(■我的大類_重點目標!$C:$C,$B11,■我的大類_重點目標!$O:$O)</f>
        <v>21</v>
      </c>
      <c r="AA11" s="295">
        <f>SUMIF(數據!$A:$A,$B11,數據!$X:$X)+SUMIF(數據!$A:$A,$B11,數據!$Y:$Y)</f>
        <v>4</v>
      </c>
      <c r="AB11" s="301">
        <f t="shared" ca="1" si="20"/>
        <v>0.63492063492063489</v>
      </c>
      <c r="AC11" s="302">
        <f t="shared" ca="1" si="21"/>
        <v>5.7414557023031492</v>
      </c>
      <c r="AE11" s="305">
        <v>15</v>
      </c>
      <c r="AF11" s="306" t="s">
        <v>210</v>
      </c>
      <c r="AG11" s="306">
        <v>6000</v>
      </c>
    </row>
    <row r="12" spans="1:33" ht="24.75" customHeight="1">
      <c r="A12" s="290" t="s">
        <v>18</v>
      </c>
      <c r="B12" s="291" t="s">
        <v>98</v>
      </c>
      <c r="C12" s="291" t="s">
        <v>89</v>
      </c>
      <c r="D12" s="292">
        <f t="shared" ca="1" si="10"/>
        <v>11.364228483360431</v>
      </c>
      <c r="E12" s="293">
        <f t="shared" ca="1" si="11"/>
        <v>4000</v>
      </c>
      <c r="F12" s="294">
        <f>SUMIF(■我的大類_重點目標!$C:$C,$B12,■我的大類_重點目標!$H:$H)</f>
        <v>293</v>
      </c>
      <c r="G12" s="295">
        <f>SUMIF(數據!$A:$A,$B12,數據!$I:$I)</f>
        <v>159.94999999999999</v>
      </c>
      <c r="H12" s="296">
        <f t="shared" ca="1" si="12"/>
        <v>0.60656048540007579</v>
      </c>
      <c r="I12" s="297">
        <f t="shared" ca="1" si="13"/>
        <v>2.4262419416003032</v>
      </c>
      <c r="J12" s="298">
        <f>SUMIF(■我的大類_重點目標!$C:$C,$B12,■我的大類_重點目標!$I:$I)</f>
        <v>53</v>
      </c>
      <c r="K12" s="299">
        <f>SUMIF(數據!$A:$A,$B12,數據!$J:$J)+SUMIF(數據!$A:$A,$B12,數據!$K:$K)</f>
        <v>24</v>
      </c>
      <c r="L12" s="296">
        <f t="shared" ca="1" si="14"/>
        <v>0.50314465408805031</v>
      </c>
      <c r="M12" s="300">
        <f t="shared" ca="1" si="15"/>
        <v>2.0125786163522013</v>
      </c>
      <c r="N12" s="299">
        <f>SUMIF(■我的大類_重點目標!$C:$C,$B12,■我的大類_重點目標!$J:$J)</f>
        <v>20</v>
      </c>
      <c r="O12" s="299">
        <f>SUMIF(數據!$A:$A,$B12,數據!$L:$L)+SUMIF(數據!$A:$A,$B12,數據!$M:$M)</f>
        <v>13</v>
      </c>
      <c r="P12" s="301">
        <f t="shared" ca="1" si="16"/>
        <v>1.4444444444444446</v>
      </c>
      <c r="Q12" s="299">
        <f>SUMIF(■我的大類_重點目標!$C:$C,$B12,■我的大類_重點目標!$L:$L)</f>
        <v>16</v>
      </c>
      <c r="R12" s="299">
        <f>SUMIF(數據!$A:$A,$B12,數據!$R:$R)+SUMIF(數據!$A:$A,$B12,數據!$S:$S)</f>
        <v>8</v>
      </c>
      <c r="S12" s="301">
        <f t="shared" ca="1" si="17"/>
        <v>1.1111111111111112</v>
      </c>
      <c r="T12" s="299">
        <f>SUMIF(■我的大類_重點目標!$C:$C,$B12,■我的大類_重點目標!$M:$M)</f>
        <v>13</v>
      </c>
      <c r="U12" s="299">
        <f>SUMIF(數據!$A:$A,$B12,數據!$N:$N)+SUMIF(數據!$A:$A,$B12,數據!$O:$O)</f>
        <v>5</v>
      </c>
      <c r="V12" s="301">
        <f t="shared" ca="1" si="18"/>
        <v>0.85470085470085477</v>
      </c>
      <c r="W12" s="299">
        <f>SUMIF(■我的大類_重點目標!$C:$C,$B12,■我的大類_重點目標!$N:$N)</f>
        <v>44</v>
      </c>
      <c r="X12" s="299">
        <f>SUMIF(數據!$A:$A,$B12,數據!$V:$V)+SUMIF(數據!$A:$A,$B12,數據!$W:$W)</f>
        <v>20</v>
      </c>
      <c r="Y12" s="301">
        <f t="shared" ca="1" si="19"/>
        <v>1.5151515151515151</v>
      </c>
      <c r="Z12" s="295">
        <f>SUMIF(■我的大類_重點目標!$C:$C,$B12,■我的大類_重點目標!$O:$O)</f>
        <v>20</v>
      </c>
      <c r="AA12" s="295">
        <f>SUMIF(數據!$A:$A,$B12,數據!$X:$X)+SUMIF(數據!$A:$A,$B12,數據!$Y:$Y)</f>
        <v>12</v>
      </c>
      <c r="AB12" s="301">
        <f t="shared" ca="1" si="20"/>
        <v>2</v>
      </c>
      <c r="AC12" s="302">
        <f t="shared" ca="1" si="21"/>
        <v>11.364228483360431</v>
      </c>
      <c r="AE12" s="490">
        <v>14</v>
      </c>
      <c r="AF12" s="491" t="s">
        <v>214</v>
      </c>
      <c r="AG12" s="491">
        <v>6000</v>
      </c>
    </row>
    <row r="13" spans="1:33" ht="24.75" customHeight="1">
      <c r="A13" s="290" t="s">
        <v>18</v>
      </c>
      <c r="B13" s="291" t="s">
        <v>110</v>
      </c>
      <c r="C13" s="291" t="s">
        <v>104</v>
      </c>
      <c r="D13" s="292">
        <f t="shared" ca="1" si="10"/>
        <v>8.5526515312944404</v>
      </c>
      <c r="E13" s="293">
        <f t="shared" ca="1" si="11"/>
        <v>3000</v>
      </c>
      <c r="F13" s="294">
        <f>SUMIF(■我的大類_重點目標!$C:$C,$B13,■我的大類_重點目標!$H:$H)</f>
        <v>241</v>
      </c>
      <c r="G13" s="295">
        <f>SUMIF(數據!$A:$A,$B13,數據!$I:$I)</f>
        <v>104.45</v>
      </c>
      <c r="H13" s="296">
        <f t="shared" ca="1" si="12"/>
        <v>0.48155832180728447</v>
      </c>
      <c r="I13" s="297">
        <f t="shared" ca="1" si="13"/>
        <v>1.9262332872291379</v>
      </c>
      <c r="J13" s="298">
        <f>SUMIF(■我的大類_重點目標!$C:$C,$B13,■我的大類_重點目標!$I:$I)</f>
        <v>44</v>
      </c>
      <c r="K13" s="299">
        <f>SUMIF(數據!$A:$A,$B13,數據!$J:$J)+SUMIF(數據!$A:$A,$B13,數據!$K:$K)</f>
        <v>15</v>
      </c>
      <c r="L13" s="296">
        <f t="shared" ca="1" si="14"/>
        <v>0.37878787878787878</v>
      </c>
      <c r="M13" s="300">
        <f t="shared" ca="1" si="15"/>
        <v>1.5151515151515151</v>
      </c>
      <c r="N13" s="299">
        <f>SUMIF(■我的大類_重點目標!$C:$C,$B13,■我的大類_重點目標!$J:$J)</f>
        <v>17</v>
      </c>
      <c r="O13" s="299">
        <f>SUMIF(數據!$A:$A,$B13,數據!$L:$L)+SUMIF(數據!$A:$A,$B13,數據!$M:$M)</f>
        <v>8</v>
      </c>
      <c r="P13" s="301">
        <f t="shared" ca="1" si="16"/>
        <v>1.0457516339869282</v>
      </c>
      <c r="Q13" s="299">
        <f>SUMIF(■我的大類_重點目標!$C:$C,$B13,■我的大類_重點目標!$L:$L)</f>
        <v>14</v>
      </c>
      <c r="R13" s="299">
        <f>SUMIF(數據!$A:$A,$B13,數據!$R:$R)+SUMIF(數據!$A:$A,$B13,數據!$S:$S)</f>
        <v>3</v>
      </c>
      <c r="S13" s="301">
        <f t="shared" ca="1" si="17"/>
        <v>0.47619047619047616</v>
      </c>
      <c r="T13" s="299">
        <f>SUMIF(■我的大類_重點目標!$C:$C,$B13,■我的大類_重點目標!$M:$M)</f>
        <v>10</v>
      </c>
      <c r="U13" s="299">
        <f>SUMIF(數據!$A:$A,$B13,數據!$N:$N)+SUMIF(數據!$A:$A,$B13,數據!$O:$O)</f>
        <v>5</v>
      </c>
      <c r="V13" s="301">
        <f t="shared" ca="1" si="18"/>
        <v>1.1111111111111112</v>
      </c>
      <c r="W13" s="299">
        <f>SUMIF(■我的大類_重點目標!$C:$C,$B13,■我的大類_重點目標!$N:$N)</f>
        <v>36</v>
      </c>
      <c r="X13" s="299">
        <f>SUMIF(數據!$A:$A,$B13,數據!$V:$V)+SUMIF(數據!$A:$A,$B13,數據!$W:$W)</f>
        <v>13</v>
      </c>
      <c r="Y13" s="301">
        <f t="shared" ca="1" si="19"/>
        <v>1.2037037037037037</v>
      </c>
      <c r="Z13" s="295">
        <f>SUMIF(■我的大類_重點目標!$C:$C,$B13,■我的大類_重點目標!$O:$O)</f>
        <v>17</v>
      </c>
      <c r="AA13" s="295">
        <f>SUMIF(數據!$A:$A,$B13,數據!$X:$X)+SUMIF(數據!$A:$A,$B13,數據!$Y:$Y)</f>
        <v>6.5</v>
      </c>
      <c r="AB13" s="301">
        <f t="shared" ca="1" si="20"/>
        <v>1.2745098039215685</v>
      </c>
      <c r="AC13" s="302">
        <f t="shared" ca="1" si="21"/>
        <v>8.5526515312944404</v>
      </c>
      <c r="AE13" s="490">
        <v>13</v>
      </c>
      <c r="AF13" s="491" t="s">
        <v>214</v>
      </c>
      <c r="AG13" s="491">
        <v>5000</v>
      </c>
    </row>
    <row r="14" spans="1:33" ht="24.75" customHeight="1">
      <c r="A14" s="290" t="s">
        <v>19</v>
      </c>
      <c r="B14" s="291" t="s">
        <v>99</v>
      </c>
      <c r="C14" s="291" t="s">
        <v>100</v>
      </c>
      <c r="D14" s="292">
        <f t="shared" ca="1" si="10"/>
        <v>13.148375091637503</v>
      </c>
      <c r="E14" s="293">
        <f t="shared" ca="1" si="11"/>
        <v>5000</v>
      </c>
      <c r="F14" s="294">
        <f>SUMIF(■我的大類_重點目標!$C:$C,$B14,■我的大類_重點目標!$H:$H)</f>
        <v>259</v>
      </c>
      <c r="G14" s="295">
        <f>SUMIF(數據!$A:$A,$B14,數據!$I:$I)</f>
        <v>200.75</v>
      </c>
      <c r="H14" s="296">
        <f t="shared" ca="1" si="12"/>
        <v>0.86121836121836115</v>
      </c>
      <c r="I14" s="297">
        <f t="shared" ca="1" si="13"/>
        <v>3.4448734448734446</v>
      </c>
      <c r="J14" s="298">
        <f>SUMIF(■我的大類_重點目標!$C:$C,$B14,■我的大類_重點目標!$I:$I)</f>
        <v>47</v>
      </c>
      <c r="K14" s="299">
        <f>SUMIF(數據!$A:$A,$B14,數據!$J:$J)+SUMIF(數據!$A:$A,$B14,數據!$K:$K)</f>
        <v>24</v>
      </c>
      <c r="L14" s="296">
        <f t="shared" ca="1" si="14"/>
        <v>0.56737588652482263</v>
      </c>
      <c r="M14" s="300">
        <f t="shared" ca="1" si="15"/>
        <v>2.2695035460992905</v>
      </c>
      <c r="N14" s="299">
        <f>SUMIF(■我的大類_重點目標!$C:$C,$B14,■我的大類_重點目標!$J:$J)</f>
        <v>18</v>
      </c>
      <c r="O14" s="299">
        <f>SUMIF(數據!$A:$A,$B14,數據!$L:$L)+SUMIF(數據!$A:$A,$B14,數據!$M:$M)</f>
        <v>13</v>
      </c>
      <c r="P14" s="301">
        <f t="shared" ca="1" si="16"/>
        <v>1.6049382716049383</v>
      </c>
      <c r="Q14" s="299">
        <f>SUMIF(■我的大類_重點目標!$C:$C,$B14,■我的大類_重點目標!$L:$L)</f>
        <v>15</v>
      </c>
      <c r="R14" s="299">
        <f>SUMIF(數據!$A:$A,$B14,數據!$R:$R)+SUMIF(數據!$A:$A,$B14,數據!$S:$S)</f>
        <v>8</v>
      </c>
      <c r="S14" s="301">
        <f t="shared" ca="1" si="17"/>
        <v>1.1851851851851851</v>
      </c>
      <c r="T14" s="299">
        <f>SUMIF(■我的大類_重點目標!$C:$C,$B14,■我的大類_重點目標!$M:$M)</f>
        <v>13</v>
      </c>
      <c r="U14" s="299">
        <f>SUMIF(數據!$A:$A,$B14,數據!$N:$N)+SUMIF(數據!$A:$A,$B14,數據!$O:$O)</f>
        <v>10</v>
      </c>
      <c r="V14" s="301">
        <f t="shared" ca="1" si="18"/>
        <v>1.7094017094017095</v>
      </c>
      <c r="W14" s="299">
        <f>SUMIF(■我的大類_重點目標!$C:$C,$B14,■我的大類_重點目標!$N:$N)</f>
        <v>39</v>
      </c>
      <c r="X14" s="299">
        <f>SUMIF(數據!$A:$A,$B14,數據!$V:$V)+SUMIF(數據!$A:$A,$B14,數據!$W:$W)</f>
        <v>17</v>
      </c>
      <c r="Y14" s="301">
        <f t="shared" ca="1" si="19"/>
        <v>1.4529914529914532</v>
      </c>
      <c r="Z14" s="295">
        <f>SUMIF(■我的大類_重點目標!$C:$C,$B14,■我的大類_重點目標!$O:$O)</f>
        <v>18</v>
      </c>
      <c r="AA14" s="295">
        <f>SUMIF(數據!$A:$A,$B14,數據!$X:$X)+SUMIF(數據!$A:$A,$B14,數據!$Y:$Y)</f>
        <v>8</v>
      </c>
      <c r="AB14" s="301">
        <f t="shared" ca="1" si="20"/>
        <v>1.4814814814814814</v>
      </c>
      <c r="AC14" s="302">
        <f t="shared" ca="1" si="21"/>
        <v>13.148375091637503</v>
      </c>
      <c r="AE14" s="492">
        <v>12</v>
      </c>
      <c r="AF14" s="493" t="s">
        <v>211</v>
      </c>
      <c r="AG14" s="493">
        <v>5000</v>
      </c>
    </row>
    <row r="15" spans="1:33" ht="24.75" customHeight="1">
      <c r="A15" s="290" t="s">
        <v>19</v>
      </c>
      <c r="B15" s="291" t="s">
        <v>88</v>
      </c>
      <c r="C15" s="291" t="s">
        <v>89</v>
      </c>
      <c r="D15" s="292">
        <f t="shared" ca="1" si="10"/>
        <v>10.455489531149231</v>
      </c>
      <c r="E15" s="293">
        <f t="shared" ca="1" si="11"/>
        <v>4000</v>
      </c>
      <c r="F15" s="294">
        <f>SUMIF(■我的大類_重點目標!$C:$C,$B15,■我的大類_重點目標!$H:$H)</f>
        <v>332</v>
      </c>
      <c r="G15" s="295">
        <f>SUMIF(數據!$A:$A,$B15,數據!$I:$I)</f>
        <v>159.94999999999999</v>
      </c>
      <c r="H15" s="296">
        <f t="shared" ca="1" si="12"/>
        <v>0.53530789825970548</v>
      </c>
      <c r="I15" s="297">
        <f t="shared" ca="1" si="13"/>
        <v>2.1412315930388219</v>
      </c>
      <c r="J15" s="298">
        <f>SUMIF(■我的大類_重點目標!$C:$C,$B15,■我的大類_重點目標!$I:$I)</f>
        <v>60</v>
      </c>
      <c r="K15" s="299">
        <f>SUMIF(數據!$A:$A,$B15,數據!$J:$J)+SUMIF(數據!$A:$A,$B15,數據!$K:$K)</f>
        <v>27</v>
      </c>
      <c r="L15" s="296">
        <f t="shared" ca="1" si="14"/>
        <v>0.5</v>
      </c>
      <c r="M15" s="300">
        <f t="shared" ca="1" si="15"/>
        <v>2</v>
      </c>
      <c r="N15" s="299">
        <f>SUMIF(■我的大類_重點目標!$C:$C,$B15,■我的大類_重點目標!$J:$J)</f>
        <v>23</v>
      </c>
      <c r="O15" s="299">
        <f>SUMIF(數據!$A:$A,$B15,數據!$L:$L)+SUMIF(數據!$A:$A,$B15,數據!$M:$M)</f>
        <v>10</v>
      </c>
      <c r="P15" s="301">
        <f t="shared" ca="1" si="16"/>
        <v>0.96618357487922701</v>
      </c>
      <c r="Q15" s="299">
        <f>SUMIF(■我的大類_重點目標!$C:$C,$B15,■我的大類_重點目標!$L:$L)</f>
        <v>19</v>
      </c>
      <c r="R15" s="299">
        <f>SUMIF(數據!$A:$A,$B15,數據!$R:$R)+SUMIF(數據!$A:$A,$B15,數據!$S:$S)</f>
        <v>6</v>
      </c>
      <c r="S15" s="301">
        <f t="shared" ca="1" si="17"/>
        <v>0.70175438596491224</v>
      </c>
      <c r="T15" s="299">
        <f>SUMIF(■我的大類_重點目標!$C:$C,$B15,■我的大類_重點目標!$M:$M)</f>
        <v>17</v>
      </c>
      <c r="U15" s="299">
        <f>SUMIF(數據!$A:$A,$B15,數據!$N:$N)+SUMIF(數據!$A:$A,$B15,數據!$O:$O)</f>
        <v>10</v>
      </c>
      <c r="V15" s="301">
        <f t="shared" ca="1" si="18"/>
        <v>1.3071895424836601</v>
      </c>
      <c r="W15" s="299">
        <f>SUMIF(■我的大類_重點目標!$C:$C,$B15,■我的大類_重點目標!$N:$N)</f>
        <v>50</v>
      </c>
      <c r="X15" s="299">
        <f>SUMIF(數據!$A:$A,$B15,數據!$V:$V)+SUMIF(數據!$A:$A,$B15,數據!$W:$W)</f>
        <v>24</v>
      </c>
      <c r="Y15" s="301">
        <f t="shared" ca="1" si="19"/>
        <v>1.6</v>
      </c>
      <c r="Z15" s="295">
        <f>SUMIF(■我的大類_重點目標!$C:$C,$B15,■我的大類_重點目標!$O:$O)</f>
        <v>23</v>
      </c>
      <c r="AA15" s="295">
        <f>SUMIF(數據!$A:$A,$B15,數據!$X:$X)+SUMIF(數據!$A:$A,$B15,數據!$Y:$Y)</f>
        <v>12</v>
      </c>
      <c r="AB15" s="301">
        <f t="shared" ca="1" si="20"/>
        <v>1.7391304347826089</v>
      </c>
      <c r="AC15" s="302">
        <f t="shared" ca="1" si="21"/>
        <v>10.455489531149231</v>
      </c>
      <c r="AE15" s="492">
        <v>11</v>
      </c>
      <c r="AF15" s="493" t="s">
        <v>211</v>
      </c>
      <c r="AG15" s="493">
        <v>4000</v>
      </c>
    </row>
    <row r="16" spans="1:33" ht="24.75" customHeight="1">
      <c r="A16" s="290" t="s">
        <v>19</v>
      </c>
      <c r="B16" s="291" t="s">
        <v>107</v>
      </c>
      <c r="C16" s="291" t="s">
        <v>104</v>
      </c>
      <c r="D16" s="292">
        <f t="shared" ca="1" si="10"/>
        <v>8.1640953216030621</v>
      </c>
      <c r="E16" s="293">
        <f t="shared" ca="1" si="11"/>
        <v>3000</v>
      </c>
      <c r="F16" s="294">
        <f>SUMIF(■我的大類_重點目標!$C:$C,$B16,■我的大類_重點目標!$H:$H)</f>
        <v>228</v>
      </c>
      <c r="G16" s="295">
        <f>SUMIF(數據!$A:$A,$B16,數據!$I:$I)</f>
        <v>79</v>
      </c>
      <c r="H16" s="296">
        <f t="shared" ca="1" si="12"/>
        <v>0.3849902534113061</v>
      </c>
      <c r="I16" s="297">
        <f t="shared" ca="1" si="13"/>
        <v>1.5399610136452244</v>
      </c>
      <c r="J16" s="298">
        <f>SUMIF(■我的大類_重點目標!$C:$C,$B16,■我的大類_重點目標!$I:$I)</f>
        <v>42</v>
      </c>
      <c r="K16" s="299">
        <f>SUMIF(數據!$A:$A,$B16,數據!$J:$J)+SUMIF(數據!$A:$A,$B16,數據!$K:$K)</f>
        <v>16</v>
      </c>
      <c r="L16" s="296">
        <f t="shared" ca="1" si="14"/>
        <v>0.42328042328042326</v>
      </c>
      <c r="M16" s="300">
        <f t="shared" ca="1" si="15"/>
        <v>1.693121693121693</v>
      </c>
      <c r="N16" s="299">
        <f>SUMIF(■我的大類_重點目標!$C:$C,$B16,■我的大類_重點目標!$J:$J)</f>
        <v>16</v>
      </c>
      <c r="O16" s="299">
        <f>SUMIF(數據!$A:$A,$B16,數據!$L:$L)+SUMIF(數據!$A:$A,$B16,數據!$M:$M)</f>
        <v>5</v>
      </c>
      <c r="P16" s="301">
        <f t="shared" ca="1" si="16"/>
        <v>0.69444444444444442</v>
      </c>
      <c r="Q16" s="299">
        <f>SUMIF(■我的大類_重點目標!$C:$C,$B16,■我的大類_重點目標!$L:$L)</f>
        <v>13</v>
      </c>
      <c r="R16" s="299">
        <f>SUMIF(數據!$A:$A,$B16,數據!$R:$R)+SUMIF(數據!$A:$A,$B16,數據!$S:$S)</f>
        <v>4</v>
      </c>
      <c r="S16" s="301">
        <f t="shared" ca="1" si="17"/>
        <v>0.68376068376068377</v>
      </c>
      <c r="T16" s="299">
        <f>SUMIF(■我的大類_重點目標!$C:$C,$B16,■我的大類_重點目標!$M:$M)</f>
        <v>11</v>
      </c>
      <c r="U16" s="299">
        <f>SUMIF(數據!$A:$A,$B16,數據!$N:$N)+SUMIF(數據!$A:$A,$B16,數據!$O:$O)</f>
        <v>6</v>
      </c>
      <c r="V16" s="301">
        <f t="shared" ca="1" si="18"/>
        <v>1.2121212121212122</v>
      </c>
      <c r="W16" s="299">
        <f>SUMIF(■我的大類_重點目標!$C:$C,$B16,■我的大類_重點目標!$N:$N)</f>
        <v>34</v>
      </c>
      <c r="X16" s="299">
        <f>SUMIF(數據!$A:$A,$B16,數據!$V:$V)+SUMIF(數據!$A:$A,$B16,數據!$W:$W)</f>
        <v>9</v>
      </c>
      <c r="Y16" s="301">
        <f t="shared" ca="1" si="19"/>
        <v>0.88235294117647056</v>
      </c>
      <c r="Z16" s="295">
        <f>SUMIF(■我的大類_重點目標!$C:$C,$B16,■我的大類_重點目標!$O:$O)</f>
        <v>16</v>
      </c>
      <c r="AA16" s="295">
        <f>SUMIF(數據!$A:$A,$B16,數據!$X:$X)+SUMIF(數據!$A:$A,$B16,數據!$Y:$Y)</f>
        <v>7</v>
      </c>
      <c r="AB16" s="301">
        <f t="shared" ca="1" si="20"/>
        <v>1.4583333333333335</v>
      </c>
      <c r="AC16" s="302">
        <f t="shared" ca="1" si="21"/>
        <v>8.1640953216030621</v>
      </c>
      <c r="AE16" s="494">
        <v>10</v>
      </c>
      <c r="AF16" s="495" t="s">
        <v>212</v>
      </c>
      <c r="AG16" s="495">
        <v>4000</v>
      </c>
    </row>
    <row r="17" spans="1:33" ht="24.75" customHeight="1">
      <c r="A17" s="290" t="s">
        <v>20</v>
      </c>
      <c r="B17" s="291" t="s">
        <v>93</v>
      </c>
      <c r="C17" s="291" t="s">
        <v>91</v>
      </c>
      <c r="D17" s="292">
        <f t="shared" ca="1" si="10"/>
        <v>12.26438359092564</v>
      </c>
      <c r="E17" s="293">
        <f t="shared" ca="1" si="11"/>
        <v>5000</v>
      </c>
      <c r="F17" s="294">
        <f>SUMIF(■我的大類_重點目標!$C:$C,$B17,■我的大類_重點目標!$H:$H)</f>
        <v>349</v>
      </c>
      <c r="G17" s="295">
        <f>SUMIF(數據!$A:$A,$B17,數據!$I:$I)</f>
        <v>263.95</v>
      </c>
      <c r="H17" s="296">
        <f t="shared" ca="1" si="12"/>
        <v>0.84033747214262977</v>
      </c>
      <c r="I17" s="297">
        <f t="shared" ca="1" si="13"/>
        <v>3.3613498885705191</v>
      </c>
      <c r="J17" s="298">
        <f>SUMIF(■我的大類_重點目標!$C:$C,$B17,■我的大類_重點目標!$I:$I)</f>
        <v>64</v>
      </c>
      <c r="K17" s="299">
        <f>SUMIF(數據!$A:$A,$B17,數據!$J:$J)+SUMIF(數據!$A:$A,$B17,數據!$K:$K)</f>
        <v>31</v>
      </c>
      <c r="L17" s="296">
        <f t="shared" ca="1" si="14"/>
        <v>0.53819444444444442</v>
      </c>
      <c r="M17" s="300">
        <f t="shared" ca="1" si="15"/>
        <v>2.1527777777777777</v>
      </c>
      <c r="N17" s="299">
        <f>SUMIF(■我的大類_重點目標!$C:$C,$B17,■我的大類_重點目標!$J:$J)</f>
        <v>24</v>
      </c>
      <c r="O17" s="299">
        <f>SUMIF(數據!$A:$A,$B17,數據!$L:$L)+SUMIF(數據!$A:$A,$B17,數據!$M:$M)</f>
        <v>20</v>
      </c>
      <c r="P17" s="301">
        <f t="shared" ca="1" si="16"/>
        <v>1.8518518518518521</v>
      </c>
      <c r="Q17" s="299">
        <f>SUMIF(■我的大類_重點目標!$C:$C,$B17,■我的大類_重點目標!$L:$L)</f>
        <v>19</v>
      </c>
      <c r="R17" s="299">
        <f>SUMIF(數據!$A:$A,$B17,數據!$R:$R)+SUMIF(數據!$A:$A,$B17,數據!$S:$S)</f>
        <v>14</v>
      </c>
      <c r="S17" s="301">
        <f t="shared" ca="1" si="17"/>
        <v>1.6374269005847952</v>
      </c>
      <c r="T17" s="299">
        <f>SUMIF(■我的大類_重點目標!$C:$C,$B17,■我的大類_重點目標!$M:$M)</f>
        <v>18</v>
      </c>
      <c r="U17" s="299">
        <f>SUMIF(數據!$A:$A,$B17,數據!$N:$N)+SUMIF(數據!$A:$A,$B17,數據!$O:$O)</f>
        <v>8</v>
      </c>
      <c r="V17" s="301">
        <f t="shared" ca="1" si="18"/>
        <v>0.98765432098765427</v>
      </c>
      <c r="W17" s="299">
        <f>SUMIF(■我的大類_重點目標!$C:$C,$B17,■我的大類_重點目標!$N:$N)</f>
        <v>53</v>
      </c>
      <c r="X17" s="299">
        <f>SUMIF(數據!$A:$A,$B17,數據!$V:$V)+SUMIF(數據!$A:$A,$B17,數據!$W:$W)</f>
        <v>24</v>
      </c>
      <c r="Y17" s="301">
        <f t="shared" ca="1" si="19"/>
        <v>1.5094339622641511</v>
      </c>
      <c r="Z17" s="295">
        <f>SUMIF(■我的大類_重點目標!$C:$C,$B17,■我的大類_重點目標!$O:$O)</f>
        <v>24</v>
      </c>
      <c r="AA17" s="295">
        <f>SUMIF(數據!$A:$A,$B17,數據!$X:$X)+SUMIF(數據!$A:$A,$B17,數據!$Y:$Y)</f>
        <v>5.5</v>
      </c>
      <c r="AB17" s="301">
        <f t="shared" ca="1" si="20"/>
        <v>0.76388888888888895</v>
      </c>
      <c r="AC17" s="302">
        <f t="shared" ca="1" si="21"/>
        <v>12.26438359092564</v>
      </c>
      <c r="AE17" s="494">
        <v>9</v>
      </c>
      <c r="AF17" s="495" t="s">
        <v>212</v>
      </c>
      <c r="AG17" s="495">
        <v>3000</v>
      </c>
    </row>
    <row r="18" spans="1:33" ht="24.75" customHeight="1">
      <c r="A18" s="290" t="s">
        <v>20</v>
      </c>
      <c r="B18" s="291" t="s">
        <v>105</v>
      </c>
      <c r="C18" s="291" t="s">
        <v>100</v>
      </c>
      <c r="D18" s="292">
        <f t="shared" ca="1" si="10"/>
        <v>9.3173764709248008</v>
      </c>
      <c r="E18" s="293">
        <f t="shared" ca="1" si="11"/>
        <v>3000</v>
      </c>
      <c r="F18" s="294">
        <f>SUMIF(■我的大類_重點目標!$C:$C,$B18,■我的大類_重點目標!$H:$H)</f>
        <v>382</v>
      </c>
      <c r="G18" s="295">
        <f>SUMIF(數據!$A:$A,$B18,數據!$I:$I)</f>
        <v>180.2</v>
      </c>
      <c r="H18" s="296">
        <f t="shared" ca="1" si="12"/>
        <v>0.52414194299011052</v>
      </c>
      <c r="I18" s="297">
        <f t="shared" ca="1" si="13"/>
        <v>2.0965677719604421</v>
      </c>
      <c r="J18" s="298">
        <f>SUMIF(■我的大類_重點目標!$C:$C,$B18,■我的大類_重點目標!$I:$I)</f>
        <v>69</v>
      </c>
      <c r="K18" s="299">
        <f>SUMIF(數據!$A:$A,$B18,數據!$J:$J)+SUMIF(數據!$A:$A,$B18,數據!$K:$K)</f>
        <v>28</v>
      </c>
      <c r="L18" s="296">
        <f t="shared" ca="1" si="14"/>
        <v>0.45088566827697268</v>
      </c>
      <c r="M18" s="300">
        <f t="shared" ca="1" si="15"/>
        <v>1.8035426731078907</v>
      </c>
      <c r="N18" s="299">
        <f>SUMIF(■我的大類_重點目標!$C:$C,$B18,■我的大類_重點目標!$J:$J)</f>
        <v>26</v>
      </c>
      <c r="O18" s="299">
        <f>SUMIF(數據!$A:$A,$B18,數據!$L:$L)+SUMIF(數據!$A:$A,$B18,數據!$M:$M)</f>
        <v>13</v>
      </c>
      <c r="P18" s="301">
        <f t="shared" ca="1" si="16"/>
        <v>1.1111111111111112</v>
      </c>
      <c r="Q18" s="299">
        <f>SUMIF(■我的大類_重點目標!$C:$C,$B18,■我的大類_重點目標!$L:$L)</f>
        <v>20</v>
      </c>
      <c r="R18" s="299">
        <f>SUMIF(數據!$A:$A,$B18,數據!$R:$R)+SUMIF(數據!$A:$A,$B18,數據!$S:$S)</f>
        <v>7</v>
      </c>
      <c r="S18" s="301">
        <f t="shared" ca="1" si="17"/>
        <v>0.77777777777777779</v>
      </c>
      <c r="T18" s="299">
        <f>SUMIF(■我的大類_重點目標!$C:$C,$B18,■我的大類_重點目標!$M:$M)</f>
        <v>19</v>
      </c>
      <c r="U18" s="299">
        <f>SUMIF(數據!$A:$A,$B18,數據!$N:$N)+SUMIF(數據!$A:$A,$B18,數據!$O:$O)</f>
        <v>7</v>
      </c>
      <c r="V18" s="301">
        <f t="shared" ca="1" si="18"/>
        <v>0.81871345029239762</v>
      </c>
      <c r="W18" s="299">
        <f>SUMIF(■我的大類_重點目標!$C:$C,$B18,■我的大類_重點目標!$N:$N)</f>
        <v>58</v>
      </c>
      <c r="X18" s="299">
        <f>SUMIF(數據!$A:$A,$B18,數據!$V:$V)+SUMIF(數據!$A:$A,$B18,數據!$W:$W)</f>
        <v>16</v>
      </c>
      <c r="Y18" s="301">
        <f t="shared" ca="1" si="19"/>
        <v>0.91954022988505757</v>
      </c>
      <c r="Z18" s="295">
        <f>SUMIF(■我的大類_重點目標!$C:$C,$B18,■我的大類_重點目標!$O:$O)</f>
        <v>27</v>
      </c>
      <c r="AA18" s="295">
        <f>SUMIF(數據!$A:$A,$B18,數據!$X:$X)+SUMIF(數據!$A:$A,$B18,數據!$Y:$Y)</f>
        <v>14.5</v>
      </c>
      <c r="AB18" s="301">
        <f t="shared" ca="1" si="20"/>
        <v>1.7901234567901236</v>
      </c>
      <c r="AC18" s="302">
        <f t="shared" ca="1" si="21"/>
        <v>9.3173764709248008</v>
      </c>
      <c r="AE18" s="494">
        <v>8</v>
      </c>
      <c r="AF18" s="495" t="s">
        <v>212</v>
      </c>
      <c r="AG18" s="495">
        <v>3000</v>
      </c>
    </row>
    <row r="19" spans="1:33" ht="24.75" customHeight="1">
      <c r="A19" s="290" t="s">
        <v>20</v>
      </c>
      <c r="B19" s="291" t="s">
        <v>102</v>
      </c>
      <c r="C19" s="291" t="s">
        <v>89</v>
      </c>
      <c r="D19" s="292">
        <f t="shared" ca="1" si="10"/>
        <v>7.6515409187908316</v>
      </c>
      <c r="E19" s="293">
        <f t="shared" ca="1" si="11"/>
        <v>0</v>
      </c>
      <c r="F19" s="294">
        <f>SUMIF(■我的大類_重點目標!$C:$C,$B19,■我的大類_重點目標!$H:$H)</f>
        <v>328</v>
      </c>
      <c r="G19" s="295">
        <f>SUMIF(數據!$A:$A,$B19,數據!$I:$I)</f>
        <v>131.9</v>
      </c>
      <c r="H19" s="296">
        <f t="shared" ca="1" si="12"/>
        <v>0.44681571815718163</v>
      </c>
      <c r="I19" s="297">
        <f t="shared" ca="1" si="13"/>
        <v>1.7872628726287265</v>
      </c>
      <c r="J19" s="298">
        <f>SUMIF(■我的大類_重點目標!$C:$C,$B19,■我的大類_重點目標!$I:$I)</f>
        <v>60</v>
      </c>
      <c r="K19" s="299">
        <f>SUMIF(數據!$A:$A,$B19,數據!$J:$J)+SUMIF(數據!$A:$A,$B19,數據!$K:$K)</f>
        <v>20</v>
      </c>
      <c r="L19" s="296">
        <f t="shared" ca="1" si="14"/>
        <v>0.37037037037037035</v>
      </c>
      <c r="M19" s="300">
        <f t="shared" ca="1" si="15"/>
        <v>1.4814814814814814</v>
      </c>
      <c r="N19" s="299">
        <f>SUMIF(■我的大類_重點目標!$C:$C,$B19,■我的大類_重點目標!$J:$J)</f>
        <v>23</v>
      </c>
      <c r="O19" s="299">
        <f>SUMIF(數據!$A:$A,$B19,數據!$L:$L)+SUMIF(數據!$A:$A,$B19,數據!$M:$M)</f>
        <v>7</v>
      </c>
      <c r="P19" s="301">
        <f t="shared" ca="1" si="16"/>
        <v>0.67632850241545905</v>
      </c>
      <c r="Q19" s="299">
        <f>SUMIF(■我的大類_重點目標!$C:$C,$B19,■我的大類_重點目標!$L:$L)</f>
        <v>18</v>
      </c>
      <c r="R19" s="299">
        <f>SUMIF(數據!$A:$A,$B19,數據!$R:$R)+SUMIF(數據!$A:$A,$B19,數據!$S:$S)</f>
        <v>7</v>
      </c>
      <c r="S19" s="301">
        <f t="shared" ca="1" si="17"/>
        <v>0.86419753086419759</v>
      </c>
      <c r="T19" s="299">
        <f>SUMIF(■我的大類_重點目標!$C:$C,$B19,■我的大類_重點目標!$M:$M)</f>
        <v>16</v>
      </c>
      <c r="U19" s="299">
        <f>SUMIF(數據!$A:$A,$B19,數據!$N:$N)+SUMIF(數據!$A:$A,$B19,數據!$O:$O)</f>
        <v>5</v>
      </c>
      <c r="V19" s="301">
        <f t="shared" ca="1" si="18"/>
        <v>0.69444444444444442</v>
      </c>
      <c r="W19" s="299">
        <f>SUMIF(■我的大類_重點目標!$C:$C,$B19,■我的大類_重點目標!$N:$N)</f>
        <v>50</v>
      </c>
      <c r="X19" s="299">
        <f>SUMIF(數據!$A:$A,$B19,數據!$V:$V)+SUMIF(數據!$A:$A,$B19,數據!$W:$W)</f>
        <v>17</v>
      </c>
      <c r="Y19" s="301">
        <f t="shared" ca="1" si="19"/>
        <v>1.1333333333333335</v>
      </c>
      <c r="Z19" s="295">
        <f>SUMIF(■我的大類_重點目標!$C:$C,$B19,■我的大類_重點目標!$O:$O)</f>
        <v>23</v>
      </c>
      <c r="AA19" s="295">
        <f>SUMIF(數據!$A:$A,$B19,數據!$X:$X)+SUMIF(數據!$A:$A,$B19,數據!$Y:$Y)</f>
        <v>7</v>
      </c>
      <c r="AB19" s="301">
        <f t="shared" ca="1" si="20"/>
        <v>1.0144927536231885</v>
      </c>
      <c r="AC19" s="302">
        <f t="shared" ca="1" si="21"/>
        <v>7.6515409187908316</v>
      </c>
      <c r="AE19" s="307">
        <v>7</v>
      </c>
      <c r="AF19" s="308" t="s">
        <v>213</v>
      </c>
      <c r="AG19" s="308"/>
    </row>
    <row r="20" spans="1:33" ht="24.75" customHeight="1">
      <c r="A20" s="290" t="s">
        <v>20</v>
      </c>
      <c r="B20" s="291" t="s">
        <v>111</v>
      </c>
      <c r="C20" s="291" t="s">
        <v>104</v>
      </c>
      <c r="D20" s="292">
        <f t="shared" ca="1" si="10"/>
        <v>11.580015209102276</v>
      </c>
      <c r="E20" s="293">
        <f t="shared" ca="1" si="11"/>
        <v>4000</v>
      </c>
      <c r="F20" s="294">
        <f>SUMIF(■我的大類_重點目標!$C:$C,$B20,■我的大類_重點目標!$H:$H)</f>
        <v>228</v>
      </c>
      <c r="G20" s="295">
        <f>SUMIF(數據!$A:$A,$B20,數據!$I:$I)</f>
        <v>184.75</v>
      </c>
      <c r="H20" s="296">
        <f t="shared" ca="1" si="12"/>
        <v>0.90034113060428855</v>
      </c>
      <c r="I20" s="297">
        <f t="shared" ca="1" si="13"/>
        <v>3.6013645224171542</v>
      </c>
      <c r="J20" s="298">
        <f>SUMIF(■我的大類_重點目標!$C:$C,$B20,■我的大類_重點目標!$I:$I)</f>
        <v>41</v>
      </c>
      <c r="K20" s="299">
        <f>SUMIF(數據!$A:$A,$B20,數據!$J:$J)+SUMIF(數據!$A:$A,$B20,數據!$K:$K)</f>
        <v>18</v>
      </c>
      <c r="L20" s="296">
        <f t="shared" ca="1" si="14"/>
        <v>0.48780487804878053</v>
      </c>
      <c r="M20" s="300">
        <f t="shared" ca="1" si="15"/>
        <v>1.9512195121951221</v>
      </c>
      <c r="N20" s="299">
        <f>SUMIF(■我的大類_重點目標!$C:$C,$B20,■我的大類_重點目標!$J:$J)</f>
        <v>16</v>
      </c>
      <c r="O20" s="299">
        <f>SUMIF(數據!$A:$A,$B20,數據!$L:$L)+SUMIF(數據!$A:$A,$B20,數據!$M:$M)</f>
        <v>8</v>
      </c>
      <c r="P20" s="301">
        <f t="shared" ca="1" si="16"/>
        <v>1.1111111111111112</v>
      </c>
      <c r="Q20" s="299">
        <f>SUMIF(■我的大類_重點目標!$C:$C,$B20,■我的大類_重點目標!$L:$L)</f>
        <v>12</v>
      </c>
      <c r="R20" s="299">
        <f>SUMIF(數據!$A:$A,$B20,數據!$R:$R)+SUMIF(數據!$A:$A,$B20,數據!$S:$S)</f>
        <v>7</v>
      </c>
      <c r="S20" s="301">
        <f t="shared" ca="1" si="17"/>
        <v>1.2962962962962965</v>
      </c>
      <c r="T20" s="299">
        <f>SUMIF(■我的大類_重點目標!$C:$C,$B20,■我的大類_重點目標!$M:$M)</f>
        <v>11</v>
      </c>
      <c r="U20" s="299">
        <f>SUMIF(數據!$A:$A,$B20,數據!$N:$N)+SUMIF(數據!$A:$A,$B20,數據!$O:$O)</f>
        <v>7</v>
      </c>
      <c r="V20" s="301">
        <f t="shared" ca="1" si="18"/>
        <v>1.4141414141414141</v>
      </c>
      <c r="W20" s="299">
        <f>SUMIF(■我的大類_重點目標!$C:$C,$B20,■我的大類_重點目標!$N:$N)</f>
        <v>34</v>
      </c>
      <c r="X20" s="299">
        <f>SUMIF(數據!$A:$A,$B20,數據!$V:$V)+SUMIF(數據!$A:$A,$B20,數據!$W:$W)</f>
        <v>14</v>
      </c>
      <c r="Y20" s="301">
        <f t="shared" ca="1" si="19"/>
        <v>1.3725490196078431</v>
      </c>
      <c r="Z20" s="295">
        <f>SUMIF(■我的大類_重點目標!$C:$C,$B20,■我的大類_重點目標!$O:$O)</f>
        <v>16</v>
      </c>
      <c r="AA20" s="295">
        <f>SUMIF(數據!$A:$A,$B20,數據!$X:$X)+SUMIF(數據!$A:$A,$B20,數據!$Y:$Y)</f>
        <v>4</v>
      </c>
      <c r="AB20" s="301">
        <f t="shared" ca="1" si="20"/>
        <v>0.83333333333333337</v>
      </c>
      <c r="AC20" s="302">
        <f t="shared" ca="1" si="21"/>
        <v>11.580015209102276</v>
      </c>
      <c r="AE20" s="307">
        <v>6</v>
      </c>
      <c r="AF20" s="308" t="s">
        <v>213</v>
      </c>
      <c r="AG20" s="308"/>
    </row>
    <row r="21" spans="1:33" ht="24.75" customHeight="1">
      <c r="A21" s="290" t="s">
        <v>21</v>
      </c>
      <c r="B21" s="291" t="s">
        <v>90</v>
      </c>
      <c r="C21" s="291" t="s">
        <v>91</v>
      </c>
      <c r="D21" s="292">
        <f t="shared" ca="1" si="10"/>
        <v>12.239602002791043</v>
      </c>
      <c r="E21" s="293">
        <f t="shared" ca="1" si="11"/>
        <v>5000</v>
      </c>
      <c r="F21" s="294">
        <f>SUMIF(■我的大類_重點目標!$C:$C,$B21,■我的大類_重點目標!$H:$H)</f>
        <v>329</v>
      </c>
      <c r="G21" s="295">
        <f>SUMIF(數據!$A:$A,$B21,數據!$I:$I)</f>
        <v>200.5</v>
      </c>
      <c r="H21" s="296">
        <f t="shared" ca="1" si="12"/>
        <v>0.6771361026680176</v>
      </c>
      <c r="I21" s="297">
        <f t="shared" ca="1" si="13"/>
        <v>2.7085444106720704</v>
      </c>
      <c r="J21" s="298">
        <f>SUMIF(■我的大類_重點目標!$C:$C,$B21,■我的大類_重點目標!$I:$I)</f>
        <v>60</v>
      </c>
      <c r="K21" s="299">
        <f>SUMIF(數據!$A:$A,$B21,數據!$J:$J)+SUMIF(數據!$A:$A,$B21,數據!$K:$K)</f>
        <v>35</v>
      </c>
      <c r="L21" s="296">
        <f t="shared" ca="1" si="14"/>
        <v>0.64814814814814825</v>
      </c>
      <c r="M21" s="300">
        <f t="shared" ca="1" si="15"/>
        <v>2.592592592592593</v>
      </c>
      <c r="N21" s="299">
        <f>SUMIF(■我的大類_重點目標!$C:$C,$B21,■我的大類_重點目標!$J:$J)</f>
        <v>23</v>
      </c>
      <c r="O21" s="299">
        <f>SUMIF(數據!$A:$A,$B21,數據!$L:$L)+SUMIF(數據!$A:$A,$B21,數據!$M:$M)</f>
        <v>17</v>
      </c>
      <c r="P21" s="301">
        <f t="shared" ca="1" si="16"/>
        <v>1.642512077294686</v>
      </c>
      <c r="Q21" s="299">
        <f>SUMIF(■我的大類_重點目標!$C:$C,$B21,■我的大類_重點目標!$L:$L)</f>
        <v>17</v>
      </c>
      <c r="R21" s="299">
        <f>SUMIF(數據!$A:$A,$B21,數據!$R:$R)+SUMIF(數據!$A:$A,$B21,數據!$S:$S)</f>
        <v>8</v>
      </c>
      <c r="S21" s="301">
        <f t="shared" ca="1" si="17"/>
        <v>1.0457516339869282</v>
      </c>
      <c r="T21" s="299">
        <f>SUMIF(■我的大類_重點目標!$C:$C,$B21,■我的大類_重點目標!$M:$M)</f>
        <v>15</v>
      </c>
      <c r="U21" s="299">
        <f>SUMIF(數據!$A:$A,$B21,數據!$N:$N)+SUMIF(數據!$A:$A,$B21,數據!$O:$O)</f>
        <v>10</v>
      </c>
      <c r="V21" s="301">
        <f t="shared" ca="1" si="18"/>
        <v>1.4814814814814814</v>
      </c>
      <c r="W21" s="299">
        <f>SUMIF(■我的大類_重點目標!$C:$C,$B21,■我的大類_重點目標!$N:$N)</f>
        <v>48</v>
      </c>
      <c r="X21" s="299">
        <f>SUMIF(數據!$A:$A,$B21,數據!$V:$V)+SUMIF(數據!$A:$A,$B21,數據!$W:$W)</f>
        <v>19</v>
      </c>
      <c r="Y21" s="301">
        <f t="shared" ca="1" si="19"/>
        <v>1.3194444444444444</v>
      </c>
      <c r="Z21" s="295">
        <f>SUMIF(■我的大類_重點目標!$C:$C,$B21,■我的大類_重點目標!$O:$O)</f>
        <v>23</v>
      </c>
      <c r="AA21" s="295">
        <f>SUMIF(數據!$A:$A,$B21,數據!$X:$X)+SUMIF(數據!$A:$A,$B21,數據!$Y:$Y)</f>
        <v>10</v>
      </c>
      <c r="AB21" s="301">
        <f t="shared" ca="1" si="20"/>
        <v>1.4492753623188406</v>
      </c>
      <c r="AC21" s="302">
        <f t="shared" ca="1" si="21"/>
        <v>12.239602002791043</v>
      </c>
      <c r="AE21" s="496">
        <v>5</v>
      </c>
      <c r="AF21" s="497" t="s">
        <v>209</v>
      </c>
      <c r="AG21" s="497"/>
    </row>
    <row r="22" spans="1:33" ht="24.75" customHeight="1">
      <c r="A22" s="290" t="s">
        <v>21</v>
      </c>
      <c r="B22" s="291" t="s">
        <v>109</v>
      </c>
      <c r="C22" s="291" t="s">
        <v>89</v>
      </c>
      <c r="D22" s="292">
        <f t="shared" ca="1" si="0"/>
        <v>10.831383733759981</v>
      </c>
      <c r="E22" s="293">
        <f t="shared" ca="1" si="1"/>
        <v>4000</v>
      </c>
      <c r="F22" s="294">
        <f>SUMIF(■我的大類_重點目標!$C:$C,$B22,■我的大類_重點目標!$H:$H)</f>
        <v>291</v>
      </c>
      <c r="G22" s="295">
        <f>SUMIF(數據!$A:$A,$B22,數據!$I:$I)</f>
        <v>172.75</v>
      </c>
      <c r="H22" s="296">
        <f t="shared" ca="1" si="2"/>
        <v>0.65960290187094317</v>
      </c>
      <c r="I22" s="297">
        <f t="shared" ca="1" si="3"/>
        <v>2.6384116074837727</v>
      </c>
      <c r="J22" s="298">
        <f>SUMIF(■我的大類_重點目標!$C:$C,$B22,■我的大類_重點目標!$I:$I)</f>
        <v>53</v>
      </c>
      <c r="K22" s="299">
        <f>SUMIF(數據!$A:$A,$B22,數據!$J:$J)+SUMIF(數據!$A:$A,$B22,數據!$K:$K)</f>
        <v>22</v>
      </c>
      <c r="L22" s="296">
        <f t="shared" ca="1" si="4"/>
        <v>0.46121593291404617</v>
      </c>
      <c r="M22" s="300">
        <f t="shared" ca="1" si="5"/>
        <v>1.8448637316561847</v>
      </c>
      <c r="N22" s="299">
        <f>SUMIF(■我的大類_重點目標!$C:$C,$B22,■我的大類_重點目標!$J:$J)</f>
        <v>20</v>
      </c>
      <c r="O22" s="299">
        <f>SUMIF(數據!$A:$A,$B22,數據!$L:$L)+SUMIF(數據!$A:$A,$B22,數據!$M:$M)</f>
        <v>11</v>
      </c>
      <c r="P22" s="301">
        <f t="shared" ca="1" si="6"/>
        <v>1.2222222222222223</v>
      </c>
      <c r="Q22" s="299">
        <f>SUMIF(■我的大類_重點目標!$C:$C,$B22,■我的大類_重點目標!$L:$L)</f>
        <v>15</v>
      </c>
      <c r="R22" s="299">
        <f>SUMIF(數據!$A:$A,$B22,數據!$R:$R)+SUMIF(數據!$A:$A,$B22,數據!$S:$S)</f>
        <v>7</v>
      </c>
      <c r="S22" s="301">
        <f t="shared" ca="1" si="7"/>
        <v>1.0370370370370372</v>
      </c>
      <c r="T22" s="299">
        <f>SUMIF(■我的大類_重點目標!$C:$C,$B22,■我的大類_重點目標!$M:$M)</f>
        <v>13</v>
      </c>
      <c r="U22" s="299">
        <f>SUMIF(數據!$A:$A,$B22,數據!$N:$N)+SUMIF(數據!$A:$A,$B22,數據!$O:$O)</f>
        <v>9</v>
      </c>
      <c r="V22" s="301">
        <f t="shared" ca="1" si="8"/>
        <v>1.5384615384615385</v>
      </c>
      <c r="W22" s="299">
        <f>SUMIF(■我的大類_重點目標!$C:$C,$B22,■我的大類_重點目標!$N:$N)</f>
        <v>43</v>
      </c>
      <c r="X22" s="299">
        <f>SUMIF(數據!$A:$A,$B22,數據!$V:$V)+SUMIF(數據!$A:$A,$B22,數據!$W:$W)</f>
        <v>20</v>
      </c>
      <c r="Y22" s="301">
        <f t="shared" ca="1" si="19"/>
        <v>1.5503875968992249</v>
      </c>
      <c r="Z22" s="295">
        <f>SUMIF(■我的大類_重點目標!$C:$C,$B22,■我的大類_重點目標!$O:$O)</f>
        <v>20</v>
      </c>
      <c r="AA22" s="295">
        <f>SUMIF(數據!$A:$A,$B22,數據!$X:$X)+SUMIF(數據!$A:$A,$B22,數據!$Y:$Y)</f>
        <v>6</v>
      </c>
      <c r="AB22" s="301">
        <f t="shared" ca="1" si="20"/>
        <v>1</v>
      </c>
      <c r="AC22" s="302">
        <f t="shared" ca="1" si="9"/>
        <v>10.831383733759981</v>
      </c>
      <c r="AE22" s="496">
        <v>4</v>
      </c>
      <c r="AF22" s="497" t="s">
        <v>209</v>
      </c>
      <c r="AG22" s="497"/>
    </row>
    <row r="23" spans="1:33" ht="24.75" hidden="1" customHeight="1">
      <c r="A23" s="290"/>
      <c r="B23" s="291"/>
      <c r="C23" s="503"/>
      <c r="D23" s="292"/>
      <c r="E23" s="293"/>
      <c r="F23" s="294"/>
      <c r="G23" s="295"/>
      <c r="H23" s="296"/>
      <c r="I23" s="297"/>
      <c r="J23" s="298"/>
      <c r="K23" s="299"/>
      <c r="L23" s="296"/>
      <c r="M23" s="300"/>
      <c r="N23" s="299"/>
      <c r="O23" s="299"/>
      <c r="P23" s="301"/>
      <c r="Q23" s="299"/>
      <c r="R23" s="299"/>
      <c r="S23" s="301"/>
      <c r="T23" s="299"/>
      <c r="U23" s="299"/>
      <c r="V23" s="301"/>
      <c r="W23" s="299"/>
      <c r="X23" s="299"/>
      <c r="Y23" s="301"/>
      <c r="Z23" s="295"/>
      <c r="AA23" s="295"/>
      <c r="AB23" s="301"/>
      <c r="AC23" s="302"/>
      <c r="AE23" s="496"/>
      <c r="AF23" s="497"/>
      <c r="AG23" s="497"/>
    </row>
    <row r="24" spans="1:33" ht="24.75" customHeight="1">
      <c r="A24" s="290" t="s">
        <v>21</v>
      </c>
      <c r="B24" s="291" t="s">
        <v>103</v>
      </c>
      <c r="C24" s="291" t="s">
        <v>104</v>
      </c>
      <c r="D24" s="292">
        <f t="shared" ca="1" si="0"/>
        <v>8.0263888559887206</v>
      </c>
      <c r="E24" s="293">
        <f t="shared" ca="1" si="1"/>
        <v>3000</v>
      </c>
      <c r="F24" s="294">
        <f>SUMIF(■我的大類_重點目標!$C:$C,$B24,■我的大類_重點目標!$H:$H)</f>
        <v>238</v>
      </c>
      <c r="G24" s="295">
        <f>SUMIF(數據!$A:$A,$B24,數據!$I:$I)</f>
        <v>99.2</v>
      </c>
      <c r="H24" s="296">
        <f t="shared" ca="1" si="2"/>
        <v>0.46311858076563961</v>
      </c>
      <c r="I24" s="297">
        <f t="shared" ca="1" si="3"/>
        <v>1.8524743230625584</v>
      </c>
      <c r="J24" s="298">
        <f>SUMIF(■我的大類_重點目標!$C:$C,$B24,■我的大類_重點目標!$I:$I)</f>
        <v>43</v>
      </c>
      <c r="K24" s="299">
        <f>SUMIF(數據!$A:$A,$B24,數據!$J:$J)+SUMIF(數據!$A:$A,$B24,數據!$K:$K)</f>
        <v>15</v>
      </c>
      <c r="L24" s="296">
        <f t="shared" ca="1" si="4"/>
        <v>0.38759689922480622</v>
      </c>
      <c r="M24" s="300">
        <f t="shared" ca="1" si="5"/>
        <v>1.5503875968992249</v>
      </c>
      <c r="N24" s="299">
        <f>SUMIF(■我的大類_重點目標!$C:$C,$B24,■我的大類_重點目標!$J:$J)</f>
        <v>16</v>
      </c>
      <c r="O24" s="299">
        <f>SUMIF(數據!$A:$A,$B24,數據!$L:$L)+SUMIF(數據!$A:$A,$B24,數據!$M:$M)</f>
        <v>10</v>
      </c>
      <c r="P24" s="301">
        <f t="shared" ca="1" si="6"/>
        <v>1.3888888888888888</v>
      </c>
      <c r="Q24" s="299">
        <f>SUMIF(■我的大類_重點目標!$C:$C,$B24,■我的大類_重點目標!$L:$L)</f>
        <v>12</v>
      </c>
      <c r="R24" s="299">
        <f>SUMIF(數據!$A:$A,$B24,數據!$R:$R)+SUMIF(數據!$A:$A,$B24,數據!$S:$S)</f>
        <v>2</v>
      </c>
      <c r="S24" s="301">
        <f t="shared" ca="1" si="7"/>
        <v>0.37037037037037035</v>
      </c>
      <c r="T24" s="299">
        <f>SUMIF(■我的大類_重點目標!$C:$C,$B24,■我的大類_重點目標!$M:$M)</f>
        <v>11</v>
      </c>
      <c r="U24" s="299">
        <f>SUMIF(數據!$A:$A,$B24,數據!$N:$N)+SUMIF(數據!$A:$A,$B24,數據!$O:$O)</f>
        <v>5</v>
      </c>
      <c r="V24" s="301">
        <f t="shared" ca="1" si="8"/>
        <v>1.0101010101010102</v>
      </c>
      <c r="W24" s="299">
        <f>SUMIF(■我的大類_重點目標!$C:$C,$B24,■我的大類_重點目標!$N:$N)</f>
        <v>35</v>
      </c>
      <c r="X24" s="299">
        <f>SUMIF(數據!$A:$A,$B24,數據!$V:$V)+SUMIF(數據!$A:$A,$B24,數據!$W:$W)</f>
        <v>14</v>
      </c>
      <c r="Y24" s="301">
        <f t="shared" ca="1" si="19"/>
        <v>1.3333333333333335</v>
      </c>
      <c r="Z24" s="295">
        <f>SUMIF(■我的大類_重點目標!$C:$C,$B24,■我的大類_重點目標!$O:$O)</f>
        <v>16</v>
      </c>
      <c r="AA24" s="295">
        <f>SUMIF(數據!$A:$A,$B24,數據!$X:$X)+SUMIF(數據!$A:$A,$B24,數據!$Y:$Y)</f>
        <v>2.5</v>
      </c>
      <c r="AB24" s="301">
        <f t="shared" ca="1" si="20"/>
        <v>0.52083333333333326</v>
      </c>
      <c r="AC24" s="302">
        <f t="shared" ca="1" si="9"/>
        <v>8.0263888559887206</v>
      </c>
      <c r="AE24" s="496">
        <v>2</v>
      </c>
      <c r="AF24" s="497" t="s">
        <v>209</v>
      </c>
      <c r="AG24" s="497"/>
    </row>
    <row r="25" spans="1:33" ht="24.75" customHeight="1">
      <c r="A25" s="290" t="s">
        <v>21</v>
      </c>
      <c r="B25" s="291" t="s">
        <v>112</v>
      </c>
      <c r="C25" s="291" t="s">
        <v>113</v>
      </c>
      <c r="D25" s="292">
        <f t="shared" ca="1" si="0"/>
        <v>13.146008848104659</v>
      </c>
      <c r="E25" s="293">
        <f t="shared" ca="1" si="1"/>
        <v>5000</v>
      </c>
      <c r="F25" s="294">
        <f>SUMIF(■我的大類_重點目標!$C:$C,$B25,■我的大類_重點目標!$H:$H)</f>
        <v>167</v>
      </c>
      <c r="G25" s="295">
        <f>SUMIF(數據!$A:$A,$B25,數據!$I:$I)</f>
        <v>133</v>
      </c>
      <c r="H25" s="296">
        <f t="shared" ca="1" si="2"/>
        <v>0.88489687292082497</v>
      </c>
      <c r="I25" s="297">
        <f t="shared" ca="1" si="3"/>
        <v>3.5395874916832999</v>
      </c>
      <c r="J25" s="298">
        <f>SUMIF(■我的大類_重點目標!$C:$C,$B25,■我的大類_重點目標!$I:$I)</f>
        <v>30</v>
      </c>
      <c r="K25" s="299">
        <f>SUMIF(數據!$A:$A,$B25,數據!$J:$J)+SUMIF(數據!$A:$A,$B25,數據!$K:$K)</f>
        <v>15</v>
      </c>
      <c r="L25" s="296">
        <f t="shared" ca="1" si="4"/>
        <v>0.55555555555555558</v>
      </c>
      <c r="M25" s="300">
        <f t="shared" ca="1" si="5"/>
        <v>2.2222222222222223</v>
      </c>
      <c r="N25" s="299">
        <f>SUMIF(■我的大類_重點目標!$C:$C,$B25,■我的大類_重點目標!$J:$J)</f>
        <v>12</v>
      </c>
      <c r="O25" s="299">
        <f>SUMIF(數據!$A:$A,$B25,數據!$L:$L)+SUMIF(數據!$A:$A,$B25,數據!$M:$M)</f>
        <v>11</v>
      </c>
      <c r="P25" s="301">
        <f t="shared" ca="1" si="6"/>
        <v>2</v>
      </c>
      <c r="Q25" s="299">
        <f>SUMIF(■我的大類_重點目標!$C:$C,$B25,■我的大類_重點目標!$L:$L)</f>
        <v>8</v>
      </c>
      <c r="R25" s="299">
        <f>SUMIF(數據!$A:$A,$B25,數據!$R:$R)+SUMIF(數據!$A:$A,$B25,數據!$S:$S)</f>
        <v>5</v>
      </c>
      <c r="S25" s="301">
        <f t="shared" ca="1" si="7"/>
        <v>1.3888888888888888</v>
      </c>
      <c r="T25" s="299">
        <f>SUMIF(■我的大類_重點目標!$C:$C,$B25,■我的大類_重點目標!$M:$M)</f>
        <v>7</v>
      </c>
      <c r="U25" s="299">
        <f>SUMIF(數據!$A:$A,$B25,數據!$N:$N)+SUMIF(數據!$A:$A,$B25,數據!$O:$O)</f>
        <v>3</v>
      </c>
      <c r="V25" s="301">
        <f t="shared" ca="1" si="8"/>
        <v>0.95238095238095233</v>
      </c>
      <c r="W25" s="299">
        <f>SUMIF(■我的大類_重點目標!$C:$C,$B25,■我的大類_重點目標!$N:$N)</f>
        <v>24</v>
      </c>
      <c r="X25" s="299">
        <f>SUMIF(數據!$A:$A,$B25,數據!$V:$V)+SUMIF(數據!$A:$A,$B25,數據!$W:$W)</f>
        <v>11</v>
      </c>
      <c r="Y25" s="301">
        <f t="shared" ca="1" si="19"/>
        <v>1.5277777777777779</v>
      </c>
      <c r="Z25" s="295">
        <f>SUMIF(■我的大類_重點目標!$C:$C,$B25,■我的大類_重點目標!$O:$O)</f>
        <v>11</v>
      </c>
      <c r="AA25" s="295">
        <f>SUMIF(數據!$A:$A,$B25,數據!$X:$X)+SUMIF(數據!$A:$A,$B25,數據!$Y:$Y)</f>
        <v>5</v>
      </c>
      <c r="AB25" s="301">
        <f t="shared" ca="1" si="20"/>
        <v>1.5151515151515151</v>
      </c>
      <c r="AC25" s="302">
        <f t="shared" ca="1" si="9"/>
        <v>13.146008848104659</v>
      </c>
      <c r="AE25" s="496">
        <v>1</v>
      </c>
      <c r="AF25" s="497" t="s">
        <v>209</v>
      </c>
      <c r="AG25" s="497"/>
    </row>
    <row r="26" spans="1:33" ht="24.75" customHeight="1">
      <c r="P26" s="309"/>
      <c r="Y26" s="310"/>
      <c r="AB26" s="310"/>
      <c r="AC26" s="311"/>
      <c r="AE26" s="498">
        <v>0</v>
      </c>
      <c r="AF26" s="499" t="s">
        <v>215</v>
      </c>
      <c r="AG26" s="500"/>
    </row>
    <row r="28" spans="1:33" s="312" customFormat="1" ht="24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268"/>
      <c r="AF28" s="313"/>
    </row>
    <row r="29" spans="1:33" s="312" customFormat="1" ht="24.75" customHeight="1">
      <c r="A29" s="546" t="s">
        <v>216</v>
      </c>
      <c r="B29" s="546"/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6"/>
      <c r="Z29" s="546"/>
      <c r="AA29" s="546"/>
      <c r="AB29" s="546"/>
      <c r="AC29" s="546"/>
      <c r="AF29" s="313"/>
    </row>
    <row r="30" spans="1:33" s="312" customFormat="1" ht="24.75" customHeight="1">
      <c r="A30" s="545" t="s">
        <v>217</v>
      </c>
      <c r="B30" s="545"/>
      <c r="C30" s="545"/>
      <c r="D30" s="545"/>
      <c r="E30" s="545"/>
      <c r="F30" s="545"/>
      <c r="G30" s="545"/>
      <c r="H30" s="545"/>
      <c r="I30" s="545"/>
      <c r="J30" s="545"/>
      <c r="K30" s="545"/>
      <c r="L30" s="545"/>
      <c r="M30" s="545"/>
      <c r="N30" s="545"/>
      <c r="O30" s="545"/>
      <c r="P30" s="545"/>
      <c r="Q30" s="545"/>
      <c r="R30" s="545"/>
      <c r="S30" s="545"/>
      <c r="T30" s="545"/>
      <c r="U30" s="545"/>
      <c r="V30" s="545"/>
      <c r="W30" s="545"/>
      <c r="X30" s="545"/>
      <c r="Y30" s="545"/>
      <c r="Z30" s="545"/>
      <c r="AA30" s="545"/>
      <c r="AB30" s="545"/>
      <c r="AC30" s="545"/>
      <c r="AF30" s="313"/>
    </row>
    <row r="31" spans="1:33" s="312" customFormat="1" ht="24.75" customHeight="1">
      <c r="A31" s="545" t="s">
        <v>218</v>
      </c>
      <c r="B31" s="545"/>
      <c r="C31" s="545"/>
      <c r="D31" s="545"/>
      <c r="E31" s="545"/>
      <c r="F31" s="545"/>
      <c r="G31" s="545"/>
      <c r="H31" s="545"/>
      <c r="I31" s="545"/>
      <c r="J31" s="545"/>
      <c r="K31" s="545"/>
      <c r="L31" s="545"/>
      <c r="M31" s="545"/>
      <c r="N31" s="545"/>
      <c r="O31" s="545"/>
      <c r="P31" s="545"/>
      <c r="Q31" s="545"/>
      <c r="R31" s="545"/>
      <c r="S31" s="545"/>
      <c r="T31" s="545"/>
      <c r="U31" s="545"/>
      <c r="V31" s="545"/>
      <c r="W31" s="545"/>
      <c r="X31" s="545"/>
      <c r="Y31" s="545"/>
      <c r="Z31" s="545"/>
      <c r="AA31" s="545"/>
      <c r="AB31" s="545"/>
      <c r="AC31" s="545"/>
      <c r="AF31" s="313"/>
    </row>
    <row r="32" spans="1:33" s="312" customFormat="1" ht="24.75" customHeight="1">
      <c r="A32" s="545" t="s">
        <v>219</v>
      </c>
      <c r="B32" s="545"/>
      <c r="C32" s="545"/>
      <c r="D32" s="545"/>
      <c r="E32" s="545"/>
      <c r="F32" s="545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F32" s="313"/>
    </row>
    <row r="33" spans="1:32" s="312" customFormat="1" ht="24.75" customHeight="1">
      <c r="A33" s="545" t="s">
        <v>220</v>
      </c>
      <c r="B33" s="545"/>
      <c r="C33" s="545"/>
      <c r="D33" s="545"/>
      <c r="E33" s="545"/>
      <c r="F33" s="545"/>
      <c r="G33" s="545"/>
      <c r="H33" s="545"/>
      <c r="I33" s="545"/>
      <c r="J33" s="545"/>
      <c r="K33" s="545"/>
      <c r="L33" s="545"/>
      <c r="M33" s="545"/>
      <c r="N33" s="545"/>
      <c r="O33" s="545"/>
      <c r="P33" s="545"/>
      <c r="Q33" s="545"/>
      <c r="R33" s="545"/>
      <c r="S33" s="545"/>
      <c r="T33" s="545"/>
      <c r="U33" s="545"/>
      <c r="V33" s="545"/>
      <c r="W33" s="545"/>
      <c r="X33" s="545"/>
      <c r="Y33" s="545"/>
      <c r="Z33" s="545"/>
      <c r="AA33" s="545"/>
      <c r="AB33" s="545"/>
      <c r="AC33" s="545"/>
      <c r="AF33" s="313"/>
    </row>
    <row r="34" spans="1:32" ht="15" customHeight="1">
      <c r="A34" s="545" t="s">
        <v>221</v>
      </c>
      <c r="B34" s="545"/>
      <c r="C34" s="545"/>
      <c r="D34" s="545"/>
      <c r="E34" s="545"/>
      <c r="F34" s="545"/>
      <c r="G34" s="545"/>
      <c r="H34" s="545"/>
      <c r="I34" s="545"/>
      <c r="J34" s="545"/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545"/>
      <c r="AC34" s="545"/>
    </row>
  </sheetData>
  <autoFilter ref="A5:AG25" xr:uid="{00000000-0009-0000-0000-000005000000}">
    <sortState xmlns:xlrd2="http://schemas.microsoft.com/office/spreadsheetml/2017/richdata2" ref="A6:AG25">
      <sortCondition descending="1" ref="AE5:AE25"/>
    </sortState>
  </autoFilter>
  <mergeCells count="17">
    <mergeCell ref="A1:AC1"/>
    <mergeCell ref="A2:AC2"/>
    <mergeCell ref="A4:C4"/>
    <mergeCell ref="D4:E4"/>
    <mergeCell ref="F4:I4"/>
    <mergeCell ref="J4:M4"/>
    <mergeCell ref="N4:P4"/>
    <mergeCell ref="Q4:S4"/>
    <mergeCell ref="T4:V4"/>
    <mergeCell ref="W4:Y4"/>
    <mergeCell ref="Z4:AB4"/>
    <mergeCell ref="A34:AC34"/>
    <mergeCell ref="A29:AC29"/>
    <mergeCell ref="A30:AC30"/>
    <mergeCell ref="A31:AC31"/>
    <mergeCell ref="A32:AC32"/>
    <mergeCell ref="A33:AC33"/>
  </mergeCells>
  <phoneticPr fontId="149" type="noConversion"/>
  <conditionalFormatting sqref="I27:I28">
    <cfRule type="colorScale" priority="2">
      <colorScale>
        <cfvo type="num" val="0"/>
        <cfvo type="num" val="3"/>
        <cfvo type="num" val="6"/>
        <color rgb="FFF8696B"/>
        <color rgb="FFFFEB84"/>
        <color rgb="FF63BE7B"/>
      </colorScale>
    </cfRule>
  </conditionalFormatting>
  <conditionalFormatting sqref="M27:M28">
    <cfRule type="colorScale" priority="3">
      <colorScale>
        <cfvo type="num" val="0"/>
        <cfvo type="num" val="1.5"/>
        <cfvo type="num" val="3"/>
        <color rgb="FFF8696B"/>
        <color rgb="FFFFEB84"/>
        <color rgb="FF63BE7B"/>
      </colorScale>
    </cfRule>
  </conditionalFormatting>
  <conditionalFormatting sqref="AC27:AC28">
    <cfRule type="colorScale" priority="4">
      <colorScale>
        <cfvo type="num" val="0"/>
        <cfvo type="num" val="5.5"/>
        <cfvo type="num" val="11"/>
        <color rgb="FFF8696B"/>
        <color rgb="FFFFEB84"/>
        <color rgb="FF63BE7B"/>
      </colorScale>
    </cfRule>
  </conditionalFormatting>
  <pageMargins left="0.75" right="0.75" top="0.84722222222222199" bottom="0.84722222222222199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BEEF4"/>
  </sheetPr>
  <dimension ref="A1:AF1026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14" sqref="M14"/>
    </sheetView>
  </sheetViews>
  <sheetFormatPr defaultColWidth="9.140625" defaultRowHeight="15"/>
  <cols>
    <col min="1" max="1" width="12.140625" style="7" customWidth="1"/>
    <col min="2" max="2" width="12.85546875" style="7" customWidth="1"/>
    <col min="3" max="19" width="10.7109375" style="7" customWidth="1"/>
    <col min="20" max="20" width="21.140625" style="7" customWidth="1"/>
    <col min="21" max="22" width="9.140625" style="7"/>
    <col min="23" max="23" width="10" style="7" customWidth="1"/>
    <col min="24" max="24" width="13" style="7" customWidth="1"/>
    <col min="25" max="26" width="16.5703125" style="7" customWidth="1"/>
    <col min="27" max="30" width="14.140625" style="7" customWidth="1"/>
    <col min="31" max="32" width="12.5703125" style="7" customWidth="1"/>
    <col min="33" max="16384" width="9.140625" style="7"/>
  </cols>
  <sheetData>
    <row r="1" spans="1:32" ht="39.75" customHeight="1">
      <c r="A1" s="556" t="s">
        <v>222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</row>
    <row r="2" spans="1:32" ht="30" customHeight="1">
      <c r="A2" s="557" t="s">
        <v>223</v>
      </c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</row>
    <row r="3" spans="1:32" ht="31.5" customHeight="1">
      <c r="A3" s="314" t="s">
        <v>224</v>
      </c>
      <c r="B3" s="315" t="s">
        <v>438</v>
      </c>
      <c r="C3" s="558" t="s">
        <v>225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</row>
    <row r="4" spans="1:32" ht="44.25" customHeight="1">
      <c r="A4" s="559" t="s">
        <v>226</v>
      </c>
      <c r="B4" s="559"/>
      <c r="C4" s="560" t="s">
        <v>430</v>
      </c>
      <c r="D4" s="560"/>
      <c r="E4" s="560"/>
      <c r="F4" s="561" t="s">
        <v>431</v>
      </c>
      <c r="G4" s="561"/>
      <c r="H4" s="561"/>
      <c r="I4" s="562" t="s">
        <v>227</v>
      </c>
      <c r="J4" s="562"/>
      <c r="K4" s="562"/>
      <c r="L4" s="563" t="s">
        <v>228</v>
      </c>
      <c r="M4" s="563"/>
      <c r="N4" s="563"/>
      <c r="O4" s="564" t="s">
        <v>229</v>
      </c>
      <c r="P4" s="564"/>
      <c r="Q4" s="564"/>
      <c r="R4" s="565" t="s">
        <v>230</v>
      </c>
      <c r="S4" s="565"/>
      <c r="T4" s="565"/>
    </row>
    <row r="5" spans="1:32" s="319" customFormat="1" ht="30.75" customHeight="1">
      <c r="A5" s="316" t="s">
        <v>8</v>
      </c>
      <c r="B5" s="316" t="s">
        <v>7</v>
      </c>
      <c r="C5" s="317" t="s">
        <v>231</v>
      </c>
      <c r="D5" s="317" t="s">
        <v>232</v>
      </c>
      <c r="E5" s="317" t="s">
        <v>233</v>
      </c>
      <c r="F5" s="317" t="s">
        <v>231</v>
      </c>
      <c r="G5" s="317" t="s">
        <v>232</v>
      </c>
      <c r="H5" s="317" t="s">
        <v>233</v>
      </c>
      <c r="I5" s="317" t="s">
        <v>231</v>
      </c>
      <c r="J5" s="317" t="s">
        <v>232</v>
      </c>
      <c r="K5" s="317" t="s">
        <v>233</v>
      </c>
      <c r="L5" s="317" t="s">
        <v>231</v>
      </c>
      <c r="M5" s="317" t="s">
        <v>232</v>
      </c>
      <c r="N5" s="317" t="s">
        <v>233</v>
      </c>
      <c r="O5" s="317" t="s">
        <v>231</v>
      </c>
      <c r="P5" s="317" t="s">
        <v>232</v>
      </c>
      <c r="Q5" s="317" t="s">
        <v>233</v>
      </c>
      <c r="R5" s="318" t="s">
        <v>234</v>
      </c>
      <c r="S5" s="317" t="s">
        <v>84</v>
      </c>
      <c r="T5" s="318" t="s">
        <v>235</v>
      </c>
      <c r="U5" s="7"/>
      <c r="V5" s="7"/>
      <c r="W5" s="319" t="s">
        <v>7</v>
      </c>
      <c r="X5" s="319" t="s">
        <v>8</v>
      </c>
      <c r="Y5" s="319" t="s">
        <v>236</v>
      </c>
      <c r="Z5" s="319" t="s">
        <v>237</v>
      </c>
      <c r="AA5" s="319" t="s">
        <v>238</v>
      </c>
      <c r="AB5" s="319" t="s">
        <v>239</v>
      </c>
      <c r="AC5" s="320" t="s">
        <v>240</v>
      </c>
      <c r="AD5" s="320" t="s">
        <v>241</v>
      </c>
      <c r="AE5" s="321" t="s">
        <v>242</v>
      </c>
      <c r="AF5" s="321" t="s">
        <v>243</v>
      </c>
    </row>
    <row r="6" spans="1:32" s="319" customFormat="1" ht="18" customHeight="1">
      <c r="A6" s="322" t="s">
        <v>17</v>
      </c>
      <c r="B6" s="323" t="s">
        <v>96</v>
      </c>
      <c r="C6" s="322">
        <f t="shared" ref="C6:C24" si="0">IF($B$3="上半場",INDEX($Y:$Y,MATCH($B6,$W:$W,0)),INDEX($Z:$Z,MATCH($B6,$W:$W,0)))</f>
        <v>25</v>
      </c>
      <c r="D6" s="324">
        <f>IF($B$3="上半場",SUMIF(■我的KPI獎金!$B:$B,$B6,■我的KPI獎金!$F:$F),SUMIF(■我的KPI獎金!$B:$B,$B6,■我的KPI獎金!$I:$I))</f>
        <v>2</v>
      </c>
      <c r="E6" s="322">
        <f t="shared" ref="E6:E24" si="1">IF(D6&gt;=C6,0,-500)</f>
        <v>-500</v>
      </c>
      <c r="F6" s="322">
        <f t="shared" ref="F6:F24" si="2">IF($B$3="上半場",INDEX($AA:$AA,MATCH($B6,$W:$W,0)),INDEX($AB:$AB,MATCH($B6,$W:$W,0)))</f>
        <v>12</v>
      </c>
      <c r="G6" s="324">
        <f>IF($B$3="上半場",SUMIF(■我的KPI獎金!$B:$B,$B6,■我的KPI獎金!$L:$L),SUMIF(■我的KPI獎金!$B:$B,$B6,■我的KPI獎金!$O:$O))</f>
        <v>2</v>
      </c>
      <c r="H6" s="322">
        <f t="shared" ref="H6:H24" si="3">IF(G6&gt;=F6,0,-500)</f>
        <v>-500</v>
      </c>
      <c r="I6" s="322">
        <f t="shared" ref="I6:I24" si="4">IF($B$3="上半場",INDEX($AC:$AC,MATCH($B6,$W:$W,0)),INDEX($AD:$AD,MATCH($B6,$W:$W,0)))</f>
        <v>11289</v>
      </c>
      <c r="J6" s="324">
        <f>IF($B$3="上半場",SUMIF(■我的KPI獎金!$B:$B,$B6,■我的KPI獎金!$R:$R),SUMIF(■我的KPI獎金!$B:$B,$B6,■我的KPI獎金!$U:$U))</f>
        <v>11660.8</v>
      </c>
      <c r="K6" s="322">
        <f t="shared" ref="K6:K24" si="5">IF(J6&gt;=I6,0,-500)</f>
        <v>0</v>
      </c>
      <c r="L6" s="322">
        <f t="shared" ref="L6:L24" si="6">IF($B$3="上半場",INDEX($AE:$AE,MATCH($B6,$W:$W,0)),INDEX($AF:$AF,MATCH($B6,$W:$W,0)))</f>
        <v>7</v>
      </c>
      <c r="M6" s="324">
        <f>IF($B$3="上半場",SUMIF(■我的KPI獎金!$B:$B,$B6,■我的KPI獎金!$X:$X),SUMIF(■我的KPI獎金!$B:$B,$B6,■我的KPI獎金!$AA:$AA))</f>
        <v>1</v>
      </c>
      <c r="N6" s="322">
        <f t="shared" ref="N6:N24" si="7">IF(M6&gt;=L6,0,-500)</f>
        <v>-500</v>
      </c>
      <c r="O6" s="322">
        <v>5</v>
      </c>
      <c r="P6" s="324">
        <f>SUMIF(■我的KPI獎金!$B:$B,$B6,■我的KPI獎金!$AD:$AD)</f>
        <v>0</v>
      </c>
      <c r="Q6" s="322">
        <f t="shared" ref="Q6:Q24" si="8">IF(P6&gt;=O6,0,-500)</f>
        <v>-500</v>
      </c>
      <c r="R6" s="325">
        <f t="shared" ref="R6:R24" si="9">COUNTIF(E6,"&gt;=0")+COUNTIF(H6,"&gt;=0")+COUNTIF(K6,"&gt;=0")+COUNTIF(N6,"&gt;=0")+COUNTIF(Q6,"&gt;=0")</f>
        <v>1</v>
      </c>
      <c r="S6" s="326">
        <f t="shared" ref="S6:S24" si="10">SUM(E6,H6,K6,N6,Q6)</f>
        <v>-2000</v>
      </c>
      <c r="T6" s="327" t="str">
        <f t="shared" ref="T6:T24" si="11">IF(R6=7,"🏆 滿貫",IF(R6=6,"⚾⚾⚾⚾⚾⚾",IF(R6=5,"⚾⚾⚾⚾⚾",IF(R6=4,"⚾⚾⚾⚾",IF(R6=3,"⚾⚾⚾",IF(R6=2,"⚾⚾",IF(R6=1,"⚾","❌")))))))</f>
        <v>⚾</v>
      </c>
      <c r="W6" s="319" t="s">
        <v>96</v>
      </c>
      <c r="X6" s="319" t="s">
        <v>17</v>
      </c>
      <c r="Y6" s="319">
        <v>21</v>
      </c>
      <c r="Z6" s="319">
        <v>25</v>
      </c>
      <c r="AA6" s="319">
        <v>9</v>
      </c>
      <c r="AB6" s="319">
        <v>12</v>
      </c>
      <c r="AC6" s="319">
        <v>9237</v>
      </c>
      <c r="AD6" s="319">
        <v>11289</v>
      </c>
      <c r="AE6" s="319">
        <v>5</v>
      </c>
      <c r="AF6" s="319">
        <v>7</v>
      </c>
    </row>
    <row r="7" spans="1:32" s="319" customFormat="1" ht="18" customHeight="1">
      <c r="A7" s="322" t="s">
        <v>17</v>
      </c>
      <c r="B7" s="323" t="s">
        <v>108</v>
      </c>
      <c r="C7" s="322">
        <f t="shared" si="0"/>
        <v>24</v>
      </c>
      <c r="D7" s="324">
        <f>IF($B$3="上半場",SUMIF(■我的KPI獎金!$B:$B,$B7,■我的KPI獎金!$F:$F),SUMIF(■我的KPI獎金!$B:$B,$B7,■我的KPI獎金!$I:$I))</f>
        <v>1</v>
      </c>
      <c r="E7" s="322">
        <f t="shared" si="1"/>
        <v>-500</v>
      </c>
      <c r="F7" s="322">
        <f t="shared" si="2"/>
        <v>11</v>
      </c>
      <c r="G7" s="324">
        <f>IF($B$3="上半場",SUMIF(■我的KPI獎金!$B:$B,$B7,■我的KPI獎金!$L:$L),SUMIF(■我的KPI獎金!$B:$B,$B7,■我的KPI獎金!$O:$O))</f>
        <v>1</v>
      </c>
      <c r="H7" s="322">
        <f t="shared" si="3"/>
        <v>-500</v>
      </c>
      <c r="I7" s="322">
        <f t="shared" si="4"/>
        <v>11289</v>
      </c>
      <c r="J7" s="324">
        <f>IF($B$3="上半場",SUMIF(■我的KPI獎金!$B:$B,$B7,■我的KPI獎金!$R:$R),SUMIF(■我的KPI獎金!$B:$B,$B7,■我的KPI獎金!$U:$U))</f>
        <v>7331</v>
      </c>
      <c r="K7" s="322">
        <f t="shared" si="5"/>
        <v>-500</v>
      </c>
      <c r="L7" s="322">
        <f t="shared" si="6"/>
        <v>7</v>
      </c>
      <c r="M7" s="324">
        <f>IF($B$3="上半場",SUMIF(■我的KPI獎金!$B:$B,$B7,■我的KPI獎金!$X:$X),SUMIF(■我的KPI獎金!$B:$B,$B7,■我的KPI獎金!$AA:$AA))</f>
        <v>1</v>
      </c>
      <c r="N7" s="322">
        <f t="shared" si="7"/>
        <v>-500</v>
      </c>
      <c r="O7" s="322">
        <v>5</v>
      </c>
      <c r="P7" s="324">
        <f>SUMIF(■我的KPI獎金!$B:$B,$B7,■我的KPI獎金!$AD:$AD)</f>
        <v>0</v>
      </c>
      <c r="Q7" s="322">
        <f t="shared" si="8"/>
        <v>-500</v>
      </c>
      <c r="R7" s="325">
        <f t="shared" si="9"/>
        <v>0</v>
      </c>
      <c r="S7" s="326">
        <f t="shared" si="10"/>
        <v>-2500</v>
      </c>
      <c r="T7" s="327" t="str">
        <f t="shared" si="11"/>
        <v>❌</v>
      </c>
      <c r="W7" s="319" t="s">
        <v>108</v>
      </c>
      <c r="X7" s="319" t="s">
        <v>17</v>
      </c>
      <c r="Y7" s="319">
        <v>19</v>
      </c>
      <c r="Z7" s="319">
        <v>24</v>
      </c>
      <c r="AA7" s="319">
        <v>9</v>
      </c>
      <c r="AB7" s="319">
        <v>11</v>
      </c>
      <c r="AC7" s="319">
        <v>9237</v>
      </c>
      <c r="AD7" s="319">
        <v>11289</v>
      </c>
      <c r="AE7" s="319">
        <v>5</v>
      </c>
      <c r="AF7" s="319">
        <v>7</v>
      </c>
    </row>
    <row r="8" spans="1:32" s="319" customFormat="1" ht="17.25" customHeight="1">
      <c r="A8" s="322" t="s">
        <v>17</v>
      </c>
      <c r="B8" s="323" t="s">
        <v>101</v>
      </c>
      <c r="C8" s="322">
        <f t="shared" si="0"/>
        <v>22</v>
      </c>
      <c r="D8" s="324">
        <f>IF($B$3="上半場",SUMIF(■我的KPI獎金!$B:$B,$B8,■我的KPI獎金!$F:$F),SUMIF(■我的KPI獎金!$B:$B,$B8,■我的KPI獎金!$I:$I))</f>
        <v>2</v>
      </c>
      <c r="E8" s="322">
        <f t="shared" si="1"/>
        <v>-500</v>
      </c>
      <c r="F8" s="322">
        <f t="shared" si="2"/>
        <v>10</v>
      </c>
      <c r="G8" s="324">
        <f>IF($B$3="上半場",SUMIF(■我的KPI獎金!$B:$B,$B8,■我的KPI獎金!$L:$L),SUMIF(■我的KPI獎金!$B:$B,$B8,■我的KPI獎金!$O:$O))</f>
        <v>1</v>
      </c>
      <c r="H8" s="322">
        <f t="shared" si="3"/>
        <v>-500</v>
      </c>
      <c r="I8" s="322">
        <f t="shared" si="4"/>
        <v>11289</v>
      </c>
      <c r="J8" s="324">
        <f>IF($B$3="上半場",SUMIF(■我的KPI獎金!$B:$B,$B8,■我的KPI獎金!$R:$R),SUMIF(■我的KPI獎金!$B:$B,$B8,■我的KPI獎金!$U:$U))</f>
        <v>5684.8</v>
      </c>
      <c r="K8" s="322">
        <f t="shared" si="5"/>
        <v>-500</v>
      </c>
      <c r="L8" s="322">
        <f t="shared" si="6"/>
        <v>6</v>
      </c>
      <c r="M8" s="324">
        <f>IF($B$3="上半場",SUMIF(■我的KPI獎金!$B:$B,$B8,■我的KPI獎金!$X:$X),SUMIF(■我的KPI獎金!$B:$B,$B8,■我的KPI獎金!$AA:$AA))</f>
        <v>0</v>
      </c>
      <c r="N8" s="322">
        <f t="shared" si="7"/>
        <v>-500</v>
      </c>
      <c r="O8" s="322">
        <v>5</v>
      </c>
      <c r="P8" s="324">
        <f>SUMIF(■我的KPI獎金!$B:$B,$B8,■我的KPI獎金!$AD:$AD)</f>
        <v>0</v>
      </c>
      <c r="Q8" s="322">
        <f t="shared" si="8"/>
        <v>-500</v>
      </c>
      <c r="R8" s="325">
        <f t="shared" si="9"/>
        <v>0</v>
      </c>
      <c r="S8" s="326">
        <f t="shared" si="10"/>
        <v>-2500</v>
      </c>
      <c r="T8" s="327" t="str">
        <f t="shared" si="11"/>
        <v>❌</v>
      </c>
      <c r="W8" s="319" t="s">
        <v>101</v>
      </c>
      <c r="X8" s="319" t="s">
        <v>17</v>
      </c>
      <c r="Y8" s="319">
        <v>18</v>
      </c>
      <c r="Z8" s="319">
        <v>22</v>
      </c>
      <c r="AA8" s="319">
        <v>9</v>
      </c>
      <c r="AB8" s="319">
        <v>10</v>
      </c>
      <c r="AC8" s="319">
        <v>9237</v>
      </c>
      <c r="AD8" s="319">
        <v>11289</v>
      </c>
      <c r="AE8" s="319">
        <v>5</v>
      </c>
      <c r="AF8" s="319">
        <v>6</v>
      </c>
    </row>
    <row r="9" spans="1:32" s="319" customFormat="1" ht="18" customHeight="1">
      <c r="A9" s="322" t="s">
        <v>17</v>
      </c>
      <c r="B9" s="323" t="s">
        <v>106</v>
      </c>
      <c r="C9" s="322">
        <f t="shared" si="0"/>
        <v>20</v>
      </c>
      <c r="D9" s="324">
        <f>IF($B$3="上半場",SUMIF(■我的KPI獎金!$B:$B,$B9,■我的KPI獎金!$F:$F),SUMIF(■我的KPI獎金!$B:$B,$B9,■我的KPI獎金!$I:$I))</f>
        <v>1</v>
      </c>
      <c r="E9" s="322">
        <f t="shared" si="1"/>
        <v>-500</v>
      </c>
      <c r="F9" s="322">
        <f t="shared" si="2"/>
        <v>9</v>
      </c>
      <c r="G9" s="324">
        <f>IF($B$3="上半場",SUMIF(■我的KPI獎金!$B:$B,$B9,■我的KPI獎金!$L:$L),SUMIF(■我的KPI獎金!$B:$B,$B9,■我的KPI獎金!$O:$O))</f>
        <v>1</v>
      </c>
      <c r="H9" s="322">
        <f t="shared" si="3"/>
        <v>-500</v>
      </c>
      <c r="I9" s="322">
        <f t="shared" si="4"/>
        <v>11289</v>
      </c>
      <c r="J9" s="324">
        <f>IF($B$3="上半場",SUMIF(■我的KPI獎金!$B:$B,$B9,■我的KPI獎金!$R:$R),SUMIF(■我的KPI獎金!$B:$B,$B9,■我的KPI獎金!$U:$U))</f>
        <v>4717</v>
      </c>
      <c r="K9" s="322">
        <f t="shared" si="5"/>
        <v>-500</v>
      </c>
      <c r="L9" s="322">
        <f t="shared" si="6"/>
        <v>5</v>
      </c>
      <c r="M9" s="324">
        <f>IF($B$3="上半場",SUMIF(■我的KPI獎金!$B:$B,$B9,■我的KPI獎金!$X:$X),SUMIF(■我的KPI獎金!$B:$B,$B9,■我的KPI獎金!$AA:$AA))</f>
        <v>2</v>
      </c>
      <c r="N9" s="322">
        <f t="shared" si="7"/>
        <v>-500</v>
      </c>
      <c r="O9" s="322">
        <v>5</v>
      </c>
      <c r="P9" s="324">
        <f>SUMIF(■我的KPI獎金!$B:$B,$B9,■我的KPI獎金!$AD:$AD)</f>
        <v>0</v>
      </c>
      <c r="Q9" s="322">
        <f t="shared" si="8"/>
        <v>-500</v>
      </c>
      <c r="R9" s="325">
        <f t="shared" si="9"/>
        <v>0</v>
      </c>
      <c r="S9" s="326">
        <f t="shared" si="10"/>
        <v>-2500</v>
      </c>
      <c r="T9" s="327" t="str">
        <f t="shared" si="11"/>
        <v>❌</v>
      </c>
      <c r="W9" s="319" t="s">
        <v>106</v>
      </c>
      <c r="X9" s="319" t="s">
        <v>17</v>
      </c>
      <c r="Y9" s="319">
        <v>16</v>
      </c>
      <c r="Z9" s="319">
        <v>20</v>
      </c>
      <c r="AA9" s="319">
        <v>7</v>
      </c>
      <c r="AB9" s="319">
        <v>9</v>
      </c>
      <c r="AC9" s="319">
        <v>9237</v>
      </c>
      <c r="AD9" s="319">
        <v>11289</v>
      </c>
      <c r="AE9" s="319">
        <v>4</v>
      </c>
      <c r="AF9" s="319">
        <v>5</v>
      </c>
    </row>
    <row r="10" spans="1:32" s="319" customFormat="1" ht="18" customHeight="1">
      <c r="A10" s="322" t="s">
        <v>22</v>
      </c>
      <c r="B10" s="323" t="s">
        <v>23</v>
      </c>
      <c r="C10" s="322">
        <f t="shared" si="0"/>
        <v>19</v>
      </c>
      <c r="D10" s="324">
        <f>IF($B$3="上半場",SUMIF(■我的KPI獎金!$B:$B,$B10,■我的KPI獎金!$F:$F),SUMIF(■我的KPI獎金!$B:$B,$B10,■我的KPI獎金!$I:$I))</f>
        <v>3</v>
      </c>
      <c r="E10" s="322">
        <f t="shared" ref="E10" si="12">IF(D10&gt;=C10,0,-500)</f>
        <v>-500</v>
      </c>
      <c r="F10" s="322">
        <f t="shared" si="2"/>
        <v>9</v>
      </c>
      <c r="G10" s="324">
        <f>IF($B$3="上半場",SUMIF(■我的KPI獎金!$B:$B,$B10,■我的KPI獎金!$L:$L),SUMIF(■我的KPI獎金!$B:$B,$B10,■我的KPI獎金!$O:$O))</f>
        <v>1</v>
      </c>
      <c r="H10" s="322">
        <f t="shared" ref="H10" si="13">IF(G10&gt;=F10,0,-500)</f>
        <v>-500</v>
      </c>
      <c r="I10" s="322">
        <f t="shared" si="4"/>
        <v>11289</v>
      </c>
      <c r="J10" s="324">
        <f>IF($B$3="上半場",SUMIF(■我的KPI獎金!$B:$B,$B10,■我的KPI獎金!$R:$R),SUMIF(■我的KPI獎金!$B:$B,$B10,■我的KPI獎金!$U:$U))</f>
        <v>13509.91</v>
      </c>
      <c r="K10" s="322">
        <f t="shared" ref="K10" si="14">IF(J10&gt;=I10,0,-500)</f>
        <v>0</v>
      </c>
      <c r="L10" s="322">
        <f t="shared" si="6"/>
        <v>5</v>
      </c>
      <c r="M10" s="324">
        <f>IF($B$3="上半場",SUMIF(■我的KPI獎金!$B:$B,$B10,■我的KPI獎金!$X:$X),SUMIF(■我的KPI獎金!$B:$B,$B10,■我的KPI獎金!$AA:$AA))</f>
        <v>0</v>
      </c>
      <c r="N10" s="322">
        <f t="shared" ref="N10" si="15">IF(M10&gt;=L10,0,-500)</f>
        <v>-500</v>
      </c>
      <c r="O10" s="322">
        <v>5</v>
      </c>
      <c r="P10" s="324">
        <f>SUMIF(■我的KPI獎金!$B:$B,$B10,■我的KPI獎金!$AD:$AD)</f>
        <v>0</v>
      </c>
      <c r="Q10" s="322">
        <f t="shared" ref="Q10" si="16">IF(P10&gt;=O10,0,-500)</f>
        <v>-500</v>
      </c>
      <c r="R10" s="325">
        <f t="shared" ref="R10" si="17">COUNTIF(E10,"&gt;=0")+COUNTIF(H10,"&gt;=0")+COUNTIF(K10,"&gt;=0")+COUNTIF(N10,"&gt;=0")+COUNTIF(Q10,"&gt;=0")</f>
        <v>1</v>
      </c>
      <c r="S10" s="326">
        <f t="shared" ref="S10" si="18">SUM(E10,H10,K10,N10,Q10)</f>
        <v>-2000</v>
      </c>
      <c r="T10" s="327" t="str">
        <f t="shared" ref="T10" si="19">IF(R10=7,"🏆 滿貫",IF(R10=6,"⚾⚾⚾⚾⚾⚾",IF(R10=5,"⚾⚾⚾⚾⚾",IF(R10=4,"⚾⚾⚾⚾",IF(R10=3,"⚾⚾⚾",IF(R10=2,"⚾⚾",IF(R10=1,"⚾","❌")))))))</f>
        <v>⚾</v>
      </c>
      <c r="W10" s="319" t="s">
        <v>23</v>
      </c>
      <c r="X10" s="319" t="s">
        <v>22</v>
      </c>
      <c r="Y10" s="319">
        <v>16</v>
      </c>
      <c r="Z10" s="319">
        <v>19</v>
      </c>
      <c r="AA10" s="319">
        <v>7</v>
      </c>
      <c r="AB10" s="319">
        <v>9</v>
      </c>
      <c r="AC10" s="319">
        <v>9237</v>
      </c>
      <c r="AD10" s="319">
        <v>11289</v>
      </c>
      <c r="AE10" s="319">
        <v>5</v>
      </c>
      <c r="AF10" s="319">
        <v>5</v>
      </c>
    </row>
    <row r="11" spans="1:32" s="319" customFormat="1" ht="18" customHeight="1">
      <c r="A11" s="322" t="s">
        <v>18</v>
      </c>
      <c r="B11" s="323" t="s">
        <v>97</v>
      </c>
      <c r="C11" s="322">
        <f t="shared" si="0"/>
        <v>24</v>
      </c>
      <c r="D11" s="324">
        <f>IF($B$3="上半場",SUMIF(■我的KPI獎金!$B:$B,$B11,■我的KPI獎金!$F:$F),SUMIF(■我的KPI獎金!$B:$B,$B11,■我的KPI獎金!$I:$I))</f>
        <v>2</v>
      </c>
      <c r="E11" s="322">
        <f t="shared" si="1"/>
        <v>-500</v>
      </c>
      <c r="F11" s="322">
        <f t="shared" si="2"/>
        <v>12</v>
      </c>
      <c r="G11" s="324">
        <f>IF($B$3="上半場",SUMIF(■我的KPI獎金!$B:$B,$B11,■我的KPI獎金!$L:$L),SUMIF(■我的KPI獎金!$B:$B,$B11,■我的KPI獎金!$O:$O))</f>
        <v>0</v>
      </c>
      <c r="H11" s="322">
        <f t="shared" si="3"/>
        <v>-500</v>
      </c>
      <c r="I11" s="322">
        <f t="shared" si="4"/>
        <v>11289</v>
      </c>
      <c r="J11" s="324">
        <f>IF($B$3="上半場",SUMIF(■我的KPI獎金!$B:$B,$B11,■我的KPI獎金!$R:$R),SUMIF(■我的KPI獎金!$B:$B,$B11,■我的KPI獎金!$U:$U))</f>
        <v>4816</v>
      </c>
      <c r="K11" s="322">
        <f t="shared" si="5"/>
        <v>-500</v>
      </c>
      <c r="L11" s="322">
        <f t="shared" si="6"/>
        <v>8</v>
      </c>
      <c r="M11" s="324">
        <f>IF($B$3="上半場",SUMIF(■我的KPI獎金!$B:$B,$B11,■我的KPI獎金!$X:$X),SUMIF(■我的KPI獎金!$B:$B,$B11,■我的KPI獎金!$AA:$AA))</f>
        <v>0</v>
      </c>
      <c r="N11" s="322">
        <f t="shared" si="7"/>
        <v>-500</v>
      </c>
      <c r="O11" s="322">
        <v>5</v>
      </c>
      <c r="P11" s="324">
        <f>SUMIF(■我的KPI獎金!$B:$B,$B11,■我的KPI獎金!$AD:$AD)</f>
        <v>0</v>
      </c>
      <c r="Q11" s="322">
        <f t="shared" si="8"/>
        <v>-500</v>
      </c>
      <c r="R11" s="325">
        <f t="shared" si="9"/>
        <v>0</v>
      </c>
      <c r="S11" s="326">
        <f t="shared" si="10"/>
        <v>-2500</v>
      </c>
      <c r="T11" s="327" t="str">
        <f t="shared" si="11"/>
        <v>❌</v>
      </c>
      <c r="W11" s="319" t="s">
        <v>97</v>
      </c>
      <c r="X11" s="319" t="s">
        <v>18</v>
      </c>
      <c r="Y11" s="319">
        <v>20</v>
      </c>
      <c r="Z11" s="319">
        <v>24</v>
      </c>
      <c r="AA11" s="319">
        <v>9</v>
      </c>
      <c r="AB11" s="319">
        <v>12</v>
      </c>
      <c r="AC11" s="319">
        <v>9237</v>
      </c>
      <c r="AD11" s="319">
        <v>11289</v>
      </c>
      <c r="AE11" s="319">
        <v>6</v>
      </c>
      <c r="AF11" s="319">
        <v>8</v>
      </c>
    </row>
    <row r="12" spans="1:32" s="319" customFormat="1" ht="18" customHeight="1">
      <c r="A12" s="322" t="s">
        <v>18</v>
      </c>
      <c r="B12" s="323" t="s">
        <v>98</v>
      </c>
      <c r="C12" s="322">
        <f t="shared" si="0"/>
        <v>24</v>
      </c>
      <c r="D12" s="324">
        <f>IF($B$3="上半場",SUMIF(■我的KPI獎金!$B:$B,$B12,■我的KPI獎金!$F:$F),SUMIF(■我的KPI獎金!$B:$B,$B12,■我的KPI獎金!$I:$I))</f>
        <v>4</v>
      </c>
      <c r="E12" s="322">
        <f t="shared" si="1"/>
        <v>-500</v>
      </c>
      <c r="F12" s="322">
        <f t="shared" si="2"/>
        <v>11</v>
      </c>
      <c r="G12" s="324">
        <f>IF($B$3="上半場",SUMIF(■我的KPI獎金!$B:$B,$B12,■我的KPI獎金!$L:$L),SUMIF(■我的KPI獎金!$B:$B,$B12,■我的KPI獎金!$O:$O))</f>
        <v>2</v>
      </c>
      <c r="H12" s="322">
        <f t="shared" si="3"/>
        <v>-500</v>
      </c>
      <c r="I12" s="322">
        <f t="shared" si="4"/>
        <v>11289</v>
      </c>
      <c r="J12" s="324">
        <f>IF($B$3="上半場",SUMIF(■我的KPI獎金!$B:$B,$B12,■我的KPI獎金!$R:$R),SUMIF(■我的KPI獎金!$B:$B,$B12,■我的KPI獎金!$U:$U))</f>
        <v>5358.8</v>
      </c>
      <c r="K12" s="322">
        <f t="shared" si="5"/>
        <v>-500</v>
      </c>
      <c r="L12" s="322">
        <f t="shared" si="6"/>
        <v>7</v>
      </c>
      <c r="M12" s="324">
        <f>IF($B$3="上半場",SUMIF(■我的KPI獎金!$B:$B,$B12,■我的KPI獎金!$X:$X),SUMIF(■我的KPI獎金!$B:$B,$B12,■我的KPI獎金!$AA:$AA))</f>
        <v>2</v>
      </c>
      <c r="N12" s="322">
        <f t="shared" si="7"/>
        <v>-500</v>
      </c>
      <c r="O12" s="322">
        <v>5</v>
      </c>
      <c r="P12" s="324">
        <f>SUMIF(■我的KPI獎金!$B:$B,$B12,■我的KPI獎金!$AD:$AD)</f>
        <v>0</v>
      </c>
      <c r="Q12" s="322">
        <f t="shared" si="8"/>
        <v>-500</v>
      </c>
      <c r="R12" s="325">
        <f t="shared" si="9"/>
        <v>0</v>
      </c>
      <c r="S12" s="326">
        <f t="shared" si="10"/>
        <v>-2500</v>
      </c>
      <c r="T12" s="327" t="str">
        <f t="shared" si="11"/>
        <v>❌</v>
      </c>
      <c r="W12" s="319" t="s">
        <v>98</v>
      </c>
      <c r="X12" s="319" t="s">
        <v>18</v>
      </c>
      <c r="Y12" s="319">
        <v>20</v>
      </c>
      <c r="Z12" s="319">
        <v>24</v>
      </c>
      <c r="AA12" s="319">
        <v>9</v>
      </c>
      <c r="AB12" s="319">
        <v>11</v>
      </c>
      <c r="AC12" s="319">
        <v>9237</v>
      </c>
      <c r="AD12" s="319">
        <v>11289</v>
      </c>
      <c r="AE12" s="319">
        <v>6</v>
      </c>
      <c r="AF12" s="319">
        <v>7</v>
      </c>
    </row>
    <row r="13" spans="1:32" s="319" customFormat="1" ht="18" customHeight="1">
      <c r="A13" s="322" t="s">
        <v>18</v>
      </c>
      <c r="B13" s="323" t="s">
        <v>110</v>
      </c>
      <c r="C13" s="322">
        <f t="shared" si="0"/>
        <v>20</v>
      </c>
      <c r="D13" s="324">
        <f>IF($B$3="上半場",SUMIF(■我的KPI獎金!$B:$B,$B13,■我的KPI獎金!$F:$F),SUMIF(■我的KPI獎金!$B:$B,$B13,■我的KPI獎金!$I:$I))</f>
        <v>2</v>
      </c>
      <c r="E13" s="322">
        <f t="shared" si="1"/>
        <v>-500</v>
      </c>
      <c r="F13" s="322">
        <f t="shared" si="2"/>
        <v>9</v>
      </c>
      <c r="G13" s="324">
        <f>IF($B$3="上半場",SUMIF(■我的KPI獎金!$B:$B,$B13,■我的KPI獎金!$L:$L),SUMIF(■我的KPI獎金!$B:$B,$B13,■我的KPI獎金!$O:$O))</f>
        <v>1</v>
      </c>
      <c r="H13" s="322">
        <f t="shared" si="3"/>
        <v>-500</v>
      </c>
      <c r="I13" s="322">
        <f t="shared" si="4"/>
        <v>11289</v>
      </c>
      <c r="J13" s="324">
        <f>IF($B$3="上半場",SUMIF(■我的KPI獎金!$B:$B,$B13,■我的KPI獎金!$R:$R),SUMIF(■我的KPI獎金!$B:$B,$B13,■我的KPI獎金!$U:$U))</f>
        <v>2463</v>
      </c>
      <c r="K13" s="322">
        <f t="shared" si="5"/>
        <v>-500</v>
      </c>
      <c r="L13" s="322">
        <f t="shared" si="6"/>
        <v>6</v>
      </c>
      <c r="M13" s="324">
        <f>IF($B$3="上半場",SUMIF(■我的KPI獎金!$B:$B,$B13,■我的KPI獎金!$X:$X),SUMIF(■我的KPI獎金!$B:$B,$B13,■我的KPI獎金!$AA:$AA))</f>
        <v>0</v>
      </c>
      <c r="N13" s="322">
        <f t="shared" si="7"/>
        <v>-500</v>
      </c>
      <c r="O13" s="322">
        <v>5</v>
      </c>
      <c r="P13" s="324">
        <f>SUMIF(■我的KPI獎金!$B:$B,$B13,■我的KPI獎金!$AD:$AD)</f>
        <v>0</v>
      </c>
      <c r="Q13" s="322">
        <f t="shared" si="8"/>
        <v>-500</v>
      </c>
      <c r="R13" s="325">
        <f t="shared" si="9"/>
        <v>0</v>
      </c>
      <c r="S13" s="326">
        <f t="shared" si="10"/>
        <v>-2500</v>
      </c>
      <c r="T13" s="327" t="str">
        <f t="shared" si="11"/>
        <v>❌</v>
      </c>
      <c r="W13" s="319" t="s">
        <v>110</v>
      </c>
      <c r="X13" s="319" t="s">
        <v>18</v>
      </c>
      <c r="Y13" s="319">
        <v>16</v>
      </c>
      <c r="Z13" s="319">
        <v>20</v>
      </c>
      <c r="AA13" s="319">
        <v>8</v>
      </c>
      <c r="AB13" s="319">
        <v>9</v>
      </c>
      <c r="AC13" s="319">
        <v>9237</v>
      </c>
      <c r="AD13" s="319">
        <v>11289</v>
      </c>
      <c r="AE13" s="319">
        <v>5</v>
      </c>
      <c r="AF13" s="319">
        <v>6</v>
      </c>
    </row>
    <row r="14" spans="1:32" s="319" customFormat="1" ht="18" customHeight="1">
      <c r="A14" s="322" t="s">
        <v>19</v>
      </c>
      <c r="B14" s="323" t="s">
        <v>99</v>
      </c>
      <c r="C14" s="322">
        <f t="shared" si="0"/>
        <v>21</v>
      </c>
      <c r="D14" s="324">
        <f>IF($B$3="上半場",SUMIF(■我的KPI獎金!$B:$B,$B14,■我的KPI獎金!$F:$F),SUMIF(■我的KPI獎金!$B:$B,$B14,■我的KPI獎金!$I:$I))</f>
        <v>3</v>
      </c>
      <c r="E14" s="322">
        <f t="shared" si="1"/>
        <v>-500</v>
      </c>
      <c r="F14" s="322">
        <f t="shared" si="2"/>
        <v>10</v>
      </c>
      <c r="G14" s="324">
        <f>IF($B$3="上半場",SUMIF(■我的KPI獎金!$B:$B,$B14,■我的KPI獎金!$L:$L),SUMIF(■我的KPI獎金!$B:$B,$B14,■我的KPI獎金!$O:$O))</f>
        <v>1</v>
      </c>
      <c r="H14" s="322">
        <f t="shared" si="3"/>
        <v>-500</v>
      </c>
      <c r="I14" s="322">
        <f t="shared" si="4"/>
        <v>11289</v>
      </c>
      <c r="J14" s="324">
        <f>IF($B$3="上半場",SUMIF(■我的KPI獎金!$B:$B,$B14,■我的KPI獎金!$R:$R),SUMIF(■我的KPI獎金!$B:$B,$B14,■我的KPI獎金!$U:$U))</f>
        <v>9406</v>
      </c>
      <c r="K14" s="322">
        <f t="shared" si="5"/>
        <v>-500</v>
      </c>
      <c r="L14" s="322">
        <f t="shared" si="6"/>
        <v>6</v>
      </c>
      <c r="M14" s="324">
        <f>IF($B$3="上半場",SUMIF(■我的KPI獎金!$B:$B,$B14,■我的KPI獎金!$X:$X),SUMIF(■我的KPI獎金!$B:$B,$B14,■我的KPI獎金!$AA:$AA))</f>
        <v>0</v>
      </c>
      <c r="N14" s="322">
        <f t="shared" si="7"/>
        <v>-500</v>
      </c>
      <c r="O14" s="322">
        <v>5</v>
      </c>
      <c r="P14" s="324">
        <f>SUMIF(■我的KPI獎金!$B:$B,$B14,■我的KPI獎金!$AD:$AD)</f>
        <v>0</v>
      </c>
      <c r="Q14" s="322">
        <f t="shared" si="8"/>
        <v>-500</v>
      </c>
      <c r="R14" s="325">
        <f t="shared" si="9"/>
        <v>0</v>
      </c>
      <c r="S14" s="326">
        <f t="shared" si="10"/>
        <v>-2500</v>
      </c>
      <c r="T14" s="327" t="str">
        <f t="shared" si="11"/>
        <v>❌</v>
      </c>
      <c r="W14" s="319" t="s">
        <v>99</v>
      </c>
      <c r="X14" s="319" t="s">
        <v>19</v>
      </c>
      <c r="Y14" s="319">
        <v>18</v>
      </c>
      <c r="Z14" s="319">
        <v>21</v>
      </c>
      <c r="AA14" s="319">
        <v>8</v>
      </c>
      <c r="AB14" s="319">
        <v>10</v>
      </c>
      <c r="AC14" s="319">
        <v>9237</v>
      </c>
      <c r="AD14" s="319">
        <v>11289</v>
      </c>
      <c r="AE14" s="319">
        <v>5</v>
      </c>
      <c r="AF14" s="319">
        <v>6</v>
      </c>
    </row>
    <row r="15" spans="1:32" s="319" customFormat="1" ht="18" customHeight="1">
      <c r="A15" s="322" t="s">
        <v>19</v>
      </c>
      <c r="B15" s="323" t="s">
        <v>88</v>
      </c>
      <c r="C15" s="322">
        <f t="shared" si="0"/>
        <v>27</v>
      </c>
      <c r="D15" s="324">
        <f>IF($B$3="上半場",SUMIF(■我的KPI獎金!$B:$B,$B15,■我的KPI獎金!$F:$F),SUMIF(■我的KPI獎金!$B:$B,$B15,■我的KPI獎金!$I:$I))</f>
        <v>0</v>
      </c>
      <c r="E15" s="322">
        <f t="shared" si="1"/>
        <v>-500</v>
      </c>
      <c r="F15" s="322">
        <f t="shared" si="2"/>
        <v>13</v>
      </c>
      <c r="G15" s="324">
        <f>IF($B$3="上半場",SUMIF(■我的KPI獎金!$B:$B,$B15,■我的KPI獎金!$L:$L),SUMIF(■我的KPI獎金!$B:$B,$B15,■我的KPI獎金!$O:$O))</f>
        <v>0</v>
      </c>
      <c r="H15" s="322">
        <f t="shared" si="3"/>
        <v>-500</v>
      </c>
      <c r="I15" s="322">
        <f t="shared" si="4"/>
        <v>11289</v>
      </c>
      <c r="J15" s="324">
        <f>IF($B$3="上半場",SUMIF(■我的KPI獎金!$B:$B,$B15,■我的KPI獎金!$R:$R),SUMIF(■我的KPI獎金!$B:$B,$B15,■我的KPI獎金!$U:$U))</f>
        <v>9171.7999999999993</v>
      </c>
      <c r="K15" s="322">
        <f t="shared" si="5"/>
        <v>-500</v>
      </c>
      <c r="L15" s="322">
        <f t="shared" si="6"/>
        <v>8</v>
      </c>
      <c r="M15" s="324">
        <f>IF($B$3="上半場",SUMIF(■我的KPI獎金!$B:$B,$B15,■我的KPI獎金!$X:$X),SUMIF(■我的KPI獎金!$B:$B,$B15,■我的KPI獎金!$AA:$AA))</f>
        <v>0</v>
      </c>
      <c r="N15" s="322">
        <f t="shared" si="7"/>
        <v>-500</v>
      </c>
      <c r="O15" s="322">
        <v>5</v>
      </c>
      <c r="P15" s="324">
        <f>SUMIF(■我的KPI獎金!$B:$B,$B15,■我的KPI獎金!$AD:$AD)</f>
        <v>0</v>
      </c>
      <c r="Q15" s="322">
        <f t="shared" si="8"/>
        <v>-500</v>
      </c>
      <c r="R15" s="325">
        <f t="shared" si="9"/>
        <v>0</v>
      </c>
      <c r="S15" s="326">
        <f t="shared" si="10"/>
        <v>-2500</v>
      </c>
      <c r="T15" s="327" t="str">
        <f t="shared" si="11"/>
        <v>❌</v>
      </c>
      <c r="W15" s="319" t="s">
        <v>88</v>
      </c>
      <c r="X15" s="319" t="s">
        <v>19</v>
      </c>
      <c r="Y15" s="319">
        <v>23</v>
      </c>
      <c r="Z15" s="319">
        <v>27</v>
      </c>
      <c r="AA15" s="319">
        <v>10</v>
      </c>
      <c r="AB15" s="319">
        <v>13</v>
      </c>
      <c r="AC15" s="319">
        <v>9237</v>
      </c>
      <c r="AD15" s="319">
        <v>11289</v>
      </c>
      <c r="AE15" s="319">
        <v>7</v>
      </c>
      <c r="AF15" s="319">
        <v>8</v>
      </c>
    </row>
    <row r="16" spans="1:32" s="319" customFormat="1" ht="18" customHeight="1">
      <c r="A16" s="322" t="s">
        <v>19</v>
      </c>
      <c r="B16" s="323" t="s">
        <v>107</v>
      </c>
      <c r="C16" s="322">
        <f t="shared" si="0"/>
        <v>19</v>
      </c>
      <c r="D16" s="324">
        <f>IF($B$3="上半場",SUMIF(■我的KPI獎金!$B:$B,$B16,■我的KPI獎金!$F:$F),SUMIF(■我的KPI獎金!$B:$B,$B16,■我的KPI獎金!$I:$I))</f>
        <v>1</v>
      </c>
      <c r="E16" s="322">
        <f t="shared" si="1"/>
        <v>-500</v>
      </c>
      <c r="F16" s="322">
        <f t="shared" si="2"/>
        <v>9</v>
      </c>
      <c r="G16" s="324">
        <f>IF($B$3="上半場",SUMIF(■我的KPI獎金!$B:$B,$B16,■我的KPI獎金!$L:$L),SUMIF(■我的KPI獎金!$B:$B,$B16,■我的KPI獎金!$O:$O))</f>
        <v>2</v>
      </c>
      <c r="H16" s="322">
        <f t="shared" si="3"/>
        <v>-500</v>
      </c>
      <c r="I16" s="322">
        <f t="shared" si="4"/>
        <v>11289</v>
      </c>
      <c r="J16" s="324">
        <f>IF($B$3="上半場",SUMIF(■我的KPI獎金!$B:$B,$B16,■我的KPI獎金!$R:$R),SUMIF(■我的KPI獎金!$B:$B,$B16,■我的KPI獎金!$U:$U))</f>
        <v>4882</v>
      </c>
      <c r="K16" s="322">
        <f t="shared" si="5"/>
        <v>-500</v>
      </c>
      <c r="L16" s="322">
        <f t="shared" si="6"/>
        <v>5</v>
      </c>
      <c r="M16" s="324">
        <f>IF($B$3="上半場",SUMIF(■我的KPI獎金!$B:$B,$B16,■我的KPI獎金!$X:$X),SUMIF(■我的KPI獎金!$B:$B,$B16,■我的KPI獎金!$AA:$AA))</f>
        <v>1</v>
      </c>
      <c r="N16" s="322">
        <f t="shared" si="7"/>
        <v>-500</v>
      </c>
      <c r="O16" s="322">
        <v>5</v>
      </c>
      <c r="P16" s="324">
        <f>SUMIF(■我的KPI獎金!$B:$B,$B16,■我的KPI獎金!$AD:$AD)</f>
        <v>0</v>
      </c>
      <c r="Q16" s="322">
        <f t="shared" si="8"/>
        <v>-500</v>
      </c>
      <c r="R16" s="325">
        <f t="shared" si="9"/>
        <v>0</v>
      </c>
      <c r="S16" s="326">
        <f t="shared" si="10"/>
        <v>-2500</v>
      </c>
      <c r="T16" s="327" t="str">
        <f t="shared" si="11"/>
        <v>❌</v>
      </c>
      <c r="W16" s="319" t="s">
        <v>107</v>
      </c>
      <c r="X16" s="319" t="s">
        <v>19</v>
      </c>
      <c r="Y16" s="319">
        <v>15</v>
      </c>
      <c r="Z16" s="319">
        <v>19</v>
      </c>
      <c r="AA16" s="319">
        <v>7</v>
      </c>
      <c r="AB16" s="319">
        <v>9</v>
      </c>
      <c r="AC16" s="319">
        <v>9237</v>
      </c>
      <c r="AD16" s="319">
        <v>11289</v>
      </c>
      <c r="AE16" s="319">
        <v>5</v>
      </c>
      <c r="AF16" s="319">
        <v>5</v>
      </c>
    </row>
    <row r="17" spans="1:32" s="319" customFormat="1" ht="18" customHeight="1">
      <c r="A17" s="322" t="s">
        <v>20</v>
      </c>
      <c r="B17" s="323" t="s">
        <v>93</v>
      </c>
      <c r="C17" s="322">
        <f t="shared" si="0"/>
        <v>29</v>
      </c>
      <c r="D17" s="324">
        <f>IF($B$3="上半場",SUMIF(■我的KPI獎金!$B:$B,$B17,■我的KPI獎金!$F:$F),SUMIF(■我的KPI獎金!$B:$B,$B17,■我的KPI獎金!$I:$I))</f>
        <v>0</v>
      </c>
      <c r="E17" s="322">
        <f t="shared" si="1"/>
        <v>-500</v>
      </c>
      <c r="F17" s="322">
        <f t="shared" si="2"/>
        <v>13</v>
      </c>
      <c r="G17" s="324">
        <f>IF($B$3="上半場",SUMIF(■我的KPI獎金!$B:$B,$B17,■我的KPI獎金!$L:$L),SUMIF(■我的KPI獎金!$B:$B,$B17,■我的KPI獎金!$O:$O))</f>
        <v>0</v>
      </c>
      <c r="H17" s="322">
        <f t="shared" si="3"/>
        <v>-500</v>
      </c>
      <c r="I17" s="322">
        <f t="shared" si="4"/>
        <v>11289</v>
      </c>
      <c r="J17" s="324">
        <f>IF($B$3="上半場",SUMIF(■我的KPI獎金!$B:$B,$B17,■我的KPI獎金!$R:$R),SUMIF(■我的KPI獎金!$B:$B,$B17,■我的KPI獎金!$U:$U))</f>
        <v>10107.799999999999</v>
      </c>
      <c r="K17" s="322">
        <f t="shared" si="5"/>
        <v>-500</v>
      </c>
      <c r="L17" s="322">
        <f t="shared" si="6"/>
        <v>7</v>
      </c>
      <c r="M17" s="324">
        <f>IF($B$3="上半場",SUMIF(■我的KPI獎金!$B:$B,$B17,■我的KPI獎金!$X:$X),SUMIF(■我的KPI獎金!$B:$B,$B17,■我的KPI獎金!$AA:$AA))</f>
        <v>0</v>
      </c>
      <c r="N17" s="322">
        <f t="shared" si="7"/>
        <v>-500</v>
      </c>
      <c r="O17" s="322">
        <v>5</v>
      </c>
      <c r="P17" s="324">
        <f>SUMIF(■我的KPI獎金!$B:$B,$B17,■我的KPI獎金!$AD:$AD)</f>
        <v>0</v>
      </c>
      <c r="Q17" s="322">
        <f t="shared" si="8"/>
        <v>-500</v>
      </c>
      <c r="R17" s="325">
        <f t="shared" si="9"/>
        <v>0</v>
      </c>
      <c r="S17" s="326">
        <f t="shared" si="10"/>
        <v>-2500</v>
      </c>
      <c r="T17" s="327" t="str">
        <f t="shared" si="11"/>
        <v>❌</v>
      </c>
      <c r="W17" s="319" t="s">
        <v>93</v>
      </c>
      <c r="X17" s="319" t="s">
        <v>20</v>
      </c>
      <c r="Y17" s="319">
        <v>24</v>
      </c>
      <c r="Z17" s="319">
        <v>29</v>
      </c>
      <c r="AA17" s="319">
        <v>11</v>
      </c>
      <c r="AB17" s="319">
        <v>13</v>
      </c>
      <c r="AC17" s="319">
        <v>9237</v>
      </c>
      <c r="AD17" s="319">
        <v>11289</v>
      </c>
      <c r="AE17" s="319">
        <v>6</v>
      </c>
      <c r="AF17" s="319">
        <v>7</v>
      </c>
    </row>
    <row r="18" spans="1:32" s="319" customFormat="1" ht="18" customHeight="1">
      <c r="A18" s="322" t="s">
        <v>20</v>
      </c>
      <c r="B18" s="323" t="s">
        <v>105</v>
      </c>
      <c r="C18" s="322">
        <f t="shared" si="0"/>
        <v>32</v>
      </c>
      <c r="D18" s="324">
        <f>IF($B$3="上半場",SUMIF(■我的KPI獎金!$B:$B,$B18,■我的KPI獎金!$F:$F),SUMIF(■我的KPI獎金!$B:$B,$B18,■我的KPI獎金!$I:$I))</f>
        <v>0</v>
      </c>
      <c r="E18" s="322">
        <f t="shared" si="1"/>
        <v>-500</v>
      </c>
      <c r="F18" s="322">
        <f t="shared" si="2"/>
        <v>15</v>
      </c>
      <c r="G18" s="324">
        <f>IF($B$3="上半場",SUMIF(■我的KPI獎金!$B:$B,$B18,■我的KPI獎金!$L:$L),SUMIF(■我的KPI獎金!$B:$B,$B18,■我的KPI獎金!$O:$O))</f>
        <v>0</v>
      </c>
      <c r="H18" s="322">
        <f t="shared" si="3"/>
        <v>-500</v>
      </c>
      <c r="I18" s="322">
        <f t="shared" si="4"/>
        <v>11289</v>
      </c>
      <c r="J18" s="324">
        <f>IF($B$3="上半場",SUMIF(■我的KPI獎金!$B:$B,$B18,■我的KPI獎金!$R:$R),SUMIF(■我的KPI獎金!$B:$B,$B18,■我的KPI獎金!$U:$U))</f>
        <v>9843.7999999999993</v>
      </c>
      <c r="K18" s="322">
        <f t="shared" si="5"/>
        <v>-500</v>
      </c>
      <c r="L18" s="322">
        <f t="shared" si="6"/>
        <v>8</v>
      </c>
      <c r="M18" s="324">
        <f>IF($B$3="上半場",SUMIF(■我的KPI獎金!$B:$B,$B18,■我的KPI獎金!$X:$X),SUMIF(■我的KPI獎金!$B:$B,$B18,■我的KPI獎金!$AA:$AA))</f>
        <v>0</v>
      </c>
      <c r="N18" s="322">
        <f t="shared" si="7"/>
        <v>-500</v>
      </c>
      <c r="O18" s="322">
        <v>5</v>
      </c>
      <c r="P18" s="324">
        <f>SUMIF(■我的KPI獎金!$B:$B,$B18,■我的KPI獎金!$AD:$AD)</f>
        <v>0</v>
      </c>
      <c r="Q18" s="322">
        <f t="shared" si="8"/>
        <v>-500</v>
      </c>
      <c r="R18" s="325">
        <f t="shared" si="9"/>
        <v>0</v>
      </c>
      <c r="S18" s="326">
        <f t="shared" si="10"/>
        <v>-2500</v>
      </c>
      <c r="T18" s="327" t="str">
        <f t="shared" si="11"/>
        <v>❌</v>
      </c>
      <c r="W18" s="319" t="s">
        <v>105</v>
      </c>
      <c r="X18" s="319" t="s">
        <v>20</v>
      </c>
      <c r="Y18" s="319">
        <v>26</v>
      </c>
      <c r="Z18" s="319">
        <v>32</v>
      </c>
      <c r="AA18" s="319">
        <v>12</v>
      </c>
      <c r="AB18" s="319">
        <v>15</v>
      </c>
      <c r="AC18" s="319">
        <v>9237</v>
      </c>
      <c r="AD18" s="319">
        <v>11289</v>
      </c>
      <c r="AE18" s="319">
        <v>7</v>
      </c>
      <c r="AF18" s="319">
        <v>8</v>
      </c>
    </row>
    <row r="19" spans="1:32" s="319" customFormat="1" ht="18" customHeight="1">
      <c r="A19" s="322" t="s">
        <v>20</v>
      </c>
      <c r="B19" s="323" t="s">
        <v>102</v>
      </c>
      <c r="C19" s="322">
        <f t="shared" si="0"/>
        <v>27</v>
      </c>
      <c r="D19" s="324">
        <f>IF($B$3="上半場",SUMIF(■我的KPI獎金!$B:$B,$B19,■我的KPI獎金!$F:$F),SUMIF(■我的KPI獎金!$B:$B,$B19,■我的KPI獎金!$I:$I))</f>
        <v>2</v>
      </c>
      <c r="E19" s="322">
        <f t="shared" si="1"/>
        <v>-500</v>
      </c>
      <c r="F19" s="322">
        <f t="shared" si="2"/>
        <v>13</v>
      </c>
      <c r="G19" s="324">
        <f>IF($B$3="上半場",SUMIF(■我的KPI獎金!$B:$B,$B19,■我的KPI獎金!$L:$L),SUMIF(■我的KPI獎金!$B:$B,$B19,■我的KPI獎金!$O:$O))</f>
        <v>0</v>
      </c>
      <c r="H19" s="322">
        <f t="shared" si="3"/>
        <v>-500</v>
      </c>
      <c r="I19" s="322">
        <f t="shared" si="4"/>
        <v>11289</v>
      </c>
      <c r="J19" s="324">
        <f>IF($B$3="上半場",SUMIF(■我的KPI獎金!$B:$B,$B19,■我的KPI獎金!$R:$R),SUMIF(■我的KPI獎金!$B:$B,$B19,■我的KPI獎金!$U:$U))</f>
        <v>5660.73</v>
      </c>
      <c r="K19" s="322">
        <f t="shared" si="5"/>
        <v>-500</v>
      </c>
      <c r="L19" s="322">
        <f t="shared" si="6"/>
        <v>7</v>
      </c>
      <c r="M19" s="324">
        <f>IF($B$3="上半場",SUMIF(■我的KPI獎金!$B:$B,$B19,■我的KPI獎金!$X:$X),SUMIF(■我的KPI獎金!$B:$B,$B19,■我的KPI獎金!$AA:$AA))</f>
        <v>0</v>
      </c>
      <c r="N19" s="322">
        <f t="shared" si="7"/>
        <v>-500</v>
      </c>
      <c r="O19" s="322">
        <v>5</v>
      </c>
      <c r="P19" s="324">
        <f>SUMIF(■我的KPI獎金!$B:$B,$B19,■我的KPI獎金!$AD:$AD)</f>
        <v>0</v>
      </c>
      <c r="Q19" s="322">
        <f t="shared" si="8"/>
        <v>-500</v>
      </c>
      <c r="R19" s="325">
        <f t="shared" si="9"/>
        <v>0</v>
      </c>
      <c r="S19" s="326">
        <f t="shared" si="10"/>
        <v>-2500</v>
      </c>
      <c r="T19" s="327" t="str">
        <f t="shared" si="11"/>
        <v>❌</v>
      </c>
      <c r="W19" s="319" t="s">
        <v>102</v>
      </c>
      <c r="X19" s="319" t="s">
        <v>20</v>
      </c>
      <c r="Y19" s="319">
        <v>23</v>
      </c>
      <c r="Z19" s="319">
        <v>27</v>
      </c>
      <c r="AA19" s="319">
        <v>10</v>
      </c>
      <c r="AB19" s="319">
        <v>13</v>
      </c>
      <c r="AC19" s="319">
        <v>9237</v>
      </c>
      <c r="AD19" s="319">
        <v>11289</v>
      </c>
      <c r="AE19" s="319">
        <v>6</v>
      </c>
      <c r="AF19" s="319">
        <v>7</v>
      </c>
    </row>
    <row r="20" spans="1:32" s="319" customFormat="1" ht="18" customHeight="1">
      <c r="A20" s="322" t="s">
        <v>20</v>
      </c>
      <c r="B20" s="323" t="s">
        <v>111</v>
      </c>
      <c r="C20" s="322">
        <f t="shared" si="0"/>
        <v>19</v>
      </c>
      <c r="D20" s="324">
        <f>IF($B$3="上半場",SUMIF(■我的KPI獎金!$B:$B,$B20,■我的KPI獎金!$F:$F),SUMIF(■我的KPI獎金!$B:$B,$B20,■我的KPI獎金!$I:$I))</f>
        <v>1</v>
      </c>
      <c r="E20" s="322">
        <f t="shared" si="1"/>
        <v>-500</v>
      </c>
      <c r="F20" s="322">
        <f t="shared" si="2"/>
        <v>9</v>
      </c>
      <c r="G20" s="324">
        <f>IF($B$3="上半場",SUMIF(■我的KPI獎金!$B:$B,$B20,■我的KPI獎金!$L:$L),SUMIF(■我的KPI獎金!$B:$B,$B20,■我的KPI獎金!$O:$O))</f>
        <v>0</v>
      </c>
      <c r="H20" s="322">
        <f t="shared" si="3"/>
        <v>-500</v>
      </c>
      <c r="I20" s="322">
        <f t="shared" si="4"/>
        <v>11289</v>
      </c>
      <c r="J20" s="324">
        <f>IF($B$3="上半場",SUMIF(■我的KPI獎金!$B:$B,$B20,■我的KPI獎金!$R:$R),SUMIF(■我的KPI獎金!$B:$B,$B20,■我的KPI獎金!$U:$U))</f>
        <v>3569</v>
      </c>
      <c r="K20" s="322">
        <f t="shared" si="5"/>
        <v>-500</v>
      </c>
      <c r="L20" s="322">
        <f t="shared" si="6"/>
        <v>5</v>
      </c>
      <c r="M20" s="324">
        <f>IF($B$3="上半場",SUMIF(■我的KPI獎金!$B:$B,$B20,■我的KPI獎金!$X:$X),SUMIF(■我的KPI獎金!$B:$B,$B20,■我的KPI獎金!$AA:$AA))</f>
        <v>0</v>
      </c>
      <c r="N20" s="322">
        <f t="shared" si="7"/>
        <v>-500</v>
      </c>
      <c r="O20" s="322">
        <v>5</v>
      </c>
      <c r="P20" s="324">
        <f>SUMIF(■我的KPI獎金!$B:$B,$B20,■我的KPI獎金!$AD:$AD)</f>
        <v>0</v>
      </c>
      <c r="Q20" s="322">
        <f t="shared" si="8"/>
        <v>-500</v>
      </c>
      <c r="R20" s="325">
        <f t="shared" si="9"/>
        <v>0</v>
      </c>
      <c r="S20" s="326">
        <f t="shared" si="10"/>
        <v>-2500</v>
      </c>
      <c r="T20" s="327" t="str">
        <f t="shared" si="11"/>
        <v>❌</v>
      </c>
      <c r="W20" s="319" t="s">
        <v>111</v>
      </c>
      <c r="X20" s="319" t="s">
        <v>20</v>
      </c>
      <c r="Y20" s="319">
        <v>15</v>
      </c>
      <c r="Z20" s="319">
        <v>19</v>
      </c>
      <c r="AA20" s="319">
        <v>7</v>
      </c>
      <c r="AB20" s="319">
        <v>9</v>
      </c>
      <c r="AC20" s="319">
        <v>9237</v>
      </c>
      <c r="AD20" s="319">
        <v>11289</v>
      </c>
      <c r="AE20" s="319">
        <v>4</v>
      </c>
      <c r="AF20" s="319">
        <v>5</v>
      </c>
    </row>
    <row r="21" spans="1:32" s="319" customFormat="1" ht="18" customHeight="1">
      <c r="A21" s="322" t="s">
        <v>21</v>
      </c>
      <c r="B21" s="323" t="s">
        <v>90</v>
      </c>
      <c r="C21" s="322">
        <f t="shared" si="0"/>
        <v>26</v>
      </c>
      <c r="D21" s="324">
        <f>IF($B$3="上半場",SUMIF(■我的KPI獎金!$B:$B,$B21,■我的KPI獎金!$F:$F),SUMIF(■我的KPI獎金!$B:$B,$B21,■我的KPI獎金!$I:$I))</f>
        <v>2</v>
      </c>
      <c r="E21" s="322">
        <f t="shared" si="1"/>
        <v>-500</v>
      </c>
      <c r="F21" s="322">
        <f t="shared" si="2"/>
        <v>13</v>
      </c>
      <c r="G21" s="324">
        <f>IF($B$3="上半場",SUMIF(■我的KPI獎金!$B:$B,$B21,■我的KPI獎金!$L:$L),SUMIF(■我的KPI獎金!$B:$B,$B21,■我的KPI獎金!$O:$O))</f>
        <v>0</v>
      </c>
      <c r="H21" s="322">
        <f t="shared" si="3"/>
        <v>-500</v>
      </c>
      <c r="I21" s="322">
        <f t="shared" si="4"/>
        <v>11289</v>
      </c>
      <c r="J21" s="324">
        <f>IF($B$3="上半場",SUMIF(■我的KPI獎金!$B:$B,$B21,■我的KPI獎金!$R:$R),SUMIF(■我的KPI獎金!$B:$B,$B21,■我的KPI獎金!$U:$U))</f>
        <v>11874.859999999999</v>
      </c>
      <c r="K21" s="322">
        <f t="shared" si="5"/>
        <v>0</v>
      </c>
      <c r="L21" s="322">
        <f t="shared" si="6"/>
        <v>7</v>
      </c>
      <c r="M21" s="324">
        <f>IF($B$3="上半場",SUMIF(■我的KPI獎金!$B:$B,$B21,■我的KPI獎金!$X:$X),SUMIF(■我的KPI獎金!$B:$B,$B21,■我的KPI獎金!$AA:$AA))</f>
        <v>1</v>
      </c>
      <c r="N21" s="322">
        <f t="shared" si="7"/>
        <v>-500</v>
      </c>
      <c r="O21" s="322">
        <v>5</v>
      </c>
      <c r="P21" s="324">
        <f>SUMIF(■我的KPI獎金!$B:$B,$B21,■我的KPI獎金!$AD:$AD)</f>
        <v>0</v>
      </c>
      <c r="Q21" s="322">
        <f t="shared" si="8"/>
        <v>-500</v>
      </c>
      <c r="R21" s="325">
        <f t="shared" si="9"/>
        <v>1</v>
      </c>
      <c r="S21" s="326">
        <f t="shared" si="10"/>
        <v>-2000</v>
      </c>
      <c r="T21" s="327" t="str">
        <f t="shared" si="11"/>
        <v>⚾</v>
      </c>
      <c r="W21" s="319" t="s">
        <v>90</v>
      </c>
      <c r="X21" s="319" t="s">
        <v>21</v>
      </c>
      <c r="Y21" s="319">
        <v>22</v>
      </c>
      <c r="Z21" s="319">
        <v>26</v>
      </c>
      <c r="AA21" s="319">
        <v>10</v>
      </c>
      <c r="AB21" s="319">
        <v>13</v>
      </c>
      <c r="AC21" s="319">
        <v>9237</v>
      </c>
      <c r="AD21" s="319">
        <v>11289</v>
      </c>
      <c r="AE21" s="319">
        <v>6</v>
      </c>
      <c r="AF21" s="319">
        <v>7</v>
      </c>
    </row>
    <row r="22" spans="1:32" s="319" customFormat="1" ht="18" customHeight="1">
      <c r="A22" s="322" t="s">
        <v>21</v>
      </c>
      <c r="B22" s="323" t="s">
        <v>109</v>
      </c>
      <c r="C22" s="322">
        <f t="shared" si="0"/>
        <v>24</v>
      </c>
      <c r="D22" s="324">
        <f>IF($B$3="上半場",SUMIF(■我的KPI獎金!$B:$B,$B22,■我的KPI獎金!$F:$F),SUMIF(■我的KPI獎金!$B:$B,$B22,■我的KPI獎金!$I:$I))</f>
        <v>2</v>
      </c>
      <c r="E22" s="322">
        <f t="shared" si="1"/>
        <v>-500</v>
      </c>
      <c r="F22" s="322">
        <f t="shared" si="2"/>
        <v>11</v>
      </c>
      <c r="G22" s="324">
        <f>IF($B$3="上半場",SUMIF(■我的KPI獎金!$B:$B,$B22,■我的KPI獎金!$L:$L),SUMIF(■我的KPI獎金!$B:$B,$B22,■我的KPI獎金!$O:$O))</f>
        <v>1</v>
      </c>
      <c r="H22" s="322">
        <f t="shared" si="3"/>
        <v>-500</v>
      </c>
      <c r="I22" s="322">
        <f t="shared" si="4"/>
        <v>11289</v>
      </c>
      <c r="J22" s="324">
        <f>IF($B$3="上半場",SUMIF(■我的KPI獎金!$B:$B,$B22,■我的KPI獎金!$R:$R),SUMIF(■我的KPI獎金!$B:$B,$B22,■我的KPI獎金!$U:$U))</f>
        <v>6033.8799999999992</v>
      </c>
      <c r="K22" s="322">
        <f t="shared" si="5"/>
        <v>-500</v>
      </c>
      <c r="L22" s="322">
        <f t="shared" si="6"/>
        <v>6</v>
      </c>
      <c r="M22" s="324">
        <f>IF($B$3="上半場",SUMIF(■我的KPI獎金!$B:$B,$B22,■我的KPI獎金!$X:$X),SUMIF(■我的KPI獎金!$B:$B,$B22,■我的KPI獎金!$AA:$AA))</f>
        <v>1</v>
      </c>
      <c r="N22" s="322">
        <f t="shared" si="7"/>
        <v>-500</v>
      </c>
      <c r="O22" s="322">
        <v>5</v>
      </c>
      <c r="P22" s="324">
        <f>SUMIF(■我的KPI獎金!$B:$B,$B22,■我的KPI獎金!$AD:$AD)</f>
        <v>0</v>
      </c>
      <c r="Q22" s="322">
        <f t="shared" si="8"/>
        <v>-500</v>
      </c>
      <c r="R22" s="325">
        <f t="shared" si="9"/>
        <v>0</v>
      </c>
      <c r="S22" s="326">
        <f t="shared" si="10"/>
        <v>-2500</v>
      </c>
      <c r="T22" s="327" t="str">
        <f t="shared" si="11"/>
        <v>❌</v>
      </c>
      <c r="W22" s="319" t="s">
        <v>109</v>
      </c>
      <c r="X22" s="319" t="s">
        <v>21</v>
      </c>
      <c r="Y22" s="319">
        <v>19</v>
      </c>
      <c r="Z22" s="319">
        <v>24</v>
      </c>
      <c r="AA22" s="319">
        <v>9</v>
      </c>
      <c r="AB22" s="319">
        <v>11</v>
      </c>
      <c r="AC22" s="319">
        <v>9237</v>
      </c>
      <c r="AD22" s="319">
        <v>11289</v>
      </c>
      <c r="AE22" s="319">
        <v>5</v>
      </c>
      <c r="AF22" s="319">
        <v>6</v>
      </c>
    </row>
    <row r="23" spans="1:32" s="319" customFormat="1" ht="18" customHeight="1">
      <c r="A23" s="322" t="s">
        <v>21</v>
      </c>
      <c r="B23" s="323" t="s">
        <v>103</v>
      </c>
      <c r="C23" s="322">
        <f t="shared" si="0"/>
        <v>19</v>
      </c>
      <c r="D23" s="324">
        <f>IF($B$3="上半場",SUMIF(■我的KPI獎金!$B:$B,$B23,■我的KPI獎金!$F:$F),SUMIF(■我的KPI獎金!$B:$B,$B23,■我的KPI獎金!$I:$I))</f>
        <v>0</v>
      </c>
      <c r="E23" s="322">
        <f t="shared" si="1"/>
        <v>-500</v>
      </c>
      <c r="F23" s="322">
        <f t="shared" si="2"/>
        <v>9</v>
      </c>
      <c r="G23" s="324">
        <f>IF($B$3="上半場",SUMIF(■我的KPI獎金!$B:$B,$B23,■我的KPI獎金!$L:$L),SUMIF(■我的KPI獎金!$B:$B,$B23,■我的KPI獎金!$O:$O))</f>
        <v>0</v>
      </c>
      <c r="H23" s="322">
        <f t="shared" si="3"/>
        <v>-500</v>
      </c>
      <c r="I23" s="322">
        <f t="shared" si="4"/>
        <v>11289</v>
      </c>
      <c r="J23" s="324">
        <f>IF($B$3="上半場",SUMIF(■我的KPI獎金!$B:$B,$B23,■我的KPI獎金!$R:$R),SUMIF(■我的KPI獎金!$B:$B,$B23,■我的KPI獎金!$U:$U))</f>
        <v>3688.8</v>
      </c>
      <c r="K23" s="322">
        <f t="shared" si="5"/>
        <v>-500</v>
      </c>
      <c r="L23" s="322">
        <f t="shared" si="6"/>
        <v>5</v>
      </c>
      <c r="M23" s="324">
        <f>IF($B$3="上半場",SUMIF(■我的KPI獎金!$B:$B,$B23,■我的KPI獎金!$X:$X),SUMIF(■我的KPI獎金!$B:$B,$B23,■我的KPI獎金!$AA:$AA))</f>
        <v>0</v>
      </c>
      <c r="N23" s="322">
        <f t="shared" si="7"/>
        <v>-500</v>
      </c>
      <c r="O23" s="322">
        <v>5</v>
      </c>
      <c r="P23" s="324">
        <f>SUMIF(■我的KPI獎金!$B:$B,$B23,■我的KPI獎金!$AD:$AD)</f>
        <v>0</v>
      </c>
      <c r="Q23" s="322">
        <f t="shared" si="8"/>
        <v>-500</v>
      </c>
      <c r="R23" s="325">
        <f t="shared" si="9"/>
        <v>0</v>
      </c>
      <c r="S23" s="326">
        <f t="shared" si="10"/>
        <v>-2500</v>
      </c>
      <c r="T23" s="327" t="str">
        <f t="shared" si="11"/>
        <v>❌</v>
      </c>
      <c r="W23" s="319" t="s">
        <v>103</v>
      </c>
      <c r="X23" s="319" t="s">
        <v>21</v>
      </c>
      <c r="Y23" s="319">
        <v>16</v>
      </c>
      <c r="Z23" s="319">
        <v>19</v>
      </c>
      <c r="AA23" s="319">
        <v>7</v>
      </c>
      <c r="AB23" s="319">
        <v>9</v>
      </c>
      <c r="AC23" s="319">
        <v>9237</v>
      </c>
      <c r="AD23" s="319">
        <v>11289</v>
      </c>
      <c r="AE23" s="319">
        <v>4</v>
      </c>
      <c r="AF23" s="319">
        <v>5</v>
      </c>
    </row>
    <row r="24" spans="1:32" s="319" customFormat="1" ht="18" customHeight="1">
      <c r="A24" s="322" t="s">
        <v>21</v>
      </c>
      <c r="B24" s="323" t="s">
        <v>112</v>
      </c>
      <c r="C24" s="322">
        <f t="shared" si="0"/>
        <v>13</v>
      </c>
      <c r="D24" s="324">
        <f>IF($B$3="上半場",SUMIF(■我的KPI獎金!$B:$B,$B24,■我的KPI獎金!$F:$F),SUMIF(■我的KPI獎金!$B:$B,$B24,■我的KPI獎金!$I:$I))</f>
        <v>0</v>
      </c>
      <c r="E24" s="322">
        <f t="shared" si="1"/>
        <v>-500</v>
      </c>
      <c r="F24" s="322">
        <f t="shared" si="2"/>
        <v>6</v>
      </c>
      <c r="G24" s="324">
        <f>IF($B$3="上半場",SUMIF(■我的KPI獎金!$B:$B,$B24,■我的KPI獎金!$L:$L),SUMIF(■我的KPI獎金!$B:$B,$B24,■我的KPI獎金!$O:$O))</f>
        <v>0</v>
      </c>
      <c r="H24" s="322">
        <f t="shared" si="3"/>
        <v>-500</v>
      </c>
      <c r="I24" s="322">
        <f t="shared" si="4"/>
        <v>5653</v>
      </c>
      <c r="J24" s="324">
        <f>IF($B$3="上半場",SUMIF(■我的KPI獎金!$B:$B,$B24,■我的KPI獎金!$R:$R),SUMIF(■我的KPI獎金!$B:$B,$B24,■我的KPI獎金!$U:$U))</f>
        <v>4744</v>
      </c>
      <c r="K24" s="322">
        <f t="shared" si="5"/>
        <v>-500</v>
      </c>
      <c r="L24" s="322">
        <f t="shared" si="6"/>
        <v>4</v>
      </c>
      <c r="M24" s="324">
        <f>IF($B$3="上半場",SUMIF(■我的KPI獎金!$B:$B,$B24,■我的KPI獎金!$X:$X),SUMIF(■我的KPI獎金!$B:$B,$B24,■我的KPI獎金!$AA:$AA))</f>
        <v>0</v>
      </c>
      <c r="N24" s="322">
        <f t="shared" si="7"/>
        <v>-500</v>
      </c>
      <c r="O24" s="322">
        <v>5</v>
      </c>
      <c r="P24" s="324">
        <f>SUMIF(■我的KPI獎金!$B:$B,$B24,■我的KPI獎金!$AD:$AD)</f>
        <v>0</v>
      </c>
      <c r="Q24" s="322">
        <f t="shared" si="8"/>
        <v>-500</v>
      </c>
      <c r="R24" s="325">
        <f t="shared" si="9"/>
        <v>0</v>
      </c>
      <c r="S24" s="326">
        <f t="shared" si="10"/>
        <v>-2500</v>
      </c>
      <c r="T24" s="327" t="str">
        <f t="shared" si="11"/>
        <v>❌</v>
      </c>
      <c r="W24" s="319" t="s">
        <v>112</v>
      </c>
      <c r="X24" s="319" t="s">
        <v>21</v>
      </c>
      <c r="Y24" s="319">
        <v>11</v>
      </c>
      <c r="Z24" s="319">
        <v>13</v>
      </c>
      <c r="AA24" s="319">
        <v>5</v>
      </c>
      <c r="AB24" s="319">
        <v>6</v>
      </c>
      <c r="AC24" s="319">
        <v>4625</v>
      </c>
      <c r="AD24" s="319">
        <v>5653</v>
      </c>
      <c r="AE24" s="319">
        <v>3</v>
      </c>
      <c r="AF24" s="319">
        <v>4</v>
      </c>
    </row>
    <row r="25" spans="1:32" s="319" customFormat="1" ht="18" hidden="1" customHeight="1">
      <c r="A25" s="322"/>
      <c r="B25" s="323"/>
      <c r="C25" s="322"/>
      <c r="D25" s="324"/>
      <c r="E25" s="322"/>
      <c r="F25" s="322"/>
      <c r="G25" s="324"/>
      <c r="H25" s="322"/>
      <c r="I25" s="322"/>
      <c r="J25" s="324"/>
      <c r="K25" s="322"/>
      <c r="L25" s="322"/>
      <c r="M25" s="324"/>
      <c r="N25" s="322"/>
      <c r="O25" s="322"/>
      <c r="P25" s="324"/>
      <c r="Q25" s="322"/>
      <c r="R25" s="325"/>
      <c r="S25" s="326"/>
      <c r="T25" s="327"/>
    </row>
    <row r="26" spans="1:32" s="319" customFormat="1" ht="30.75" customHeight="1">
      <c r="A26" s="555" t="s">
        <v>244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328"/>
      <c r="P26" s="328"/>
      <c r="Q26" s="328"/>
      <c r="R26" s="329">
        <f>SUM(R6:R25)</f>
        <v>3</v>
      </c>
      <c r="S26" s="329">
        <f>SUM(S6:S25)</f>
        <v>-46000</v>
      </c>
    </row>
    <row r="27" spans="1:32" s="319" customFormat="1" ht="14.25" customHeight="1"/>
    <row r="28" spans="1:32" s="319" customFormat="1" ht="14.25" customHeight="1"/>
    <row r="29" spans="1:32" s="319" customFormat="1" ht="14.25" customHeight="1"/>
    <row r="30" spans="1:32" s="319" customFormat="1" ht="14.25" customHeight="1"/>
    <row r="31" spans="1:32" s="319" customFormat="1" ht="14.25" customHeight="1"/>
    <row r="32" spans="1:32" s="319" customFormat="1" ht="14.25" customHeight="1"/>
    <row r="33" s="319" customFormat="1" ht="14.25" customHeight="1"/>
    <row r="34" s="319" customFormat="1" ht="14.25" customHeight="1"/>
    <row r="35" s="319" customFormat="1" ht="14.25" customHeight="1"/>
    <row r="36" s="319" customFormat="1" ht="14.25" customHeight="1"/>
    <row r="37" s="319" customFormat="1" ht="14.25" customHeight="1"/>
    <row r="38" s="319" customFormat="1" ht="14.25" customHeight="1"/>
    <row r="39" s="319" customFormat="1" ht="14.25" customHeight="1"/>
    <row r="40" s="319" customFormat="1" ht="14.25" customHeight="1"/>
    <row r="41" s="319" customFormat="1" ht="14.25" customHeight="1"/>
    <row r="42" s="319" customFormat="1" ht="14.25" customHeight="1"/>
    <row r="43" s="319" customFormat="1" ht="14.25" customHeight="1"/>
    <row r="44" s="319" customFormat="1" ht="14.25" customHeight="1"/>
    <row r="45" s="319" customFormat="1" ht="14.25" customHeight="1"/>
    <row r="46" s="319" customFormat="1" ht="14.25" customHeight="1"/>
    <row r="47" s="319" customFormat="1" ht="14.25" customHeight="1"/>
    <row r="48" s="319" customFormat="1" ht="14.25" customHeight="1"/>
    <row r="49" s="319" customFormat="1" ht="14.25" customHeight="1"/>
    <row r="50" s="319" customFormat="1" ht="14.25" customHeight="1"/>
    <row r="51" s="319" customFormat="1" ht="14.25" customHeight="1"/>
    <row r="52" s="319" customFormat="1" ht="14.25" customHeight="1"/>
    <row r="53" s="319" customFormat="1" ht="14.25" customHeight="1"/>
    <row r="54" s="319" customFormat="1" ht="14.25" customHeight="1"/>
    <row r="55" s="319" customFormat="1" ht="14.25" customHeight="1"/>
    <row r="56" s="319" customFormat="1" ht="14.25" customHeight="1"/>
    <row r="57" s="319" customFormat="1" ht="14.25" customHeight="1"/>
    <row r="58" s="319" customFormat="1" ht="14.25" customHeight="1"/>
    <row r="59" s="319" customFormat="1" ht="14.25" customHeight="1"/>
    <row r="60" s="319" customFormat="1" ht="14.25" customHeight="1"/>
    <row r="61" s="319" customFormat="1" ht="14.25" customHeight="1"/>
    <row r="62" s="319" customFormat="1" ht="14.25" customHeight="1"/>
    <row r="63" s="319" customFormat="1" ht="14.25" customHeight="1"/>
    <row r="64" s="319" customFormat="1" ht="14.25" customHeight="1"/>
    <row r="65" s="319" customFormat="1" ht="14.25" customHeight="1"/>
    <row r="66" s="319" customFormat="1" ht="14.25" customHeight="1"/>
    <row r="67" s="319" customFormat="1" ht="14.25" customHeight="1"/>
    <row r="68" s="319" customFormat="1" ht="14.25" customHeight="1"/>
    <row r="69" s="319" customFormat="1" ht="14.25" customHeight="1"/>
    <row r="70" s="319" customFormat="1" ht="14.25" customHeight="1"/>
    <row r="71" s="319" customFormat="1" ht="14.25" customHeight="1"/>
    <row r="72" s="319" customFormat="1" ht="14.25" customHeight="1"/>
    <row r="73" s="319" customFormat="1" ht="14.25" customHeight="1"/>
    <row r="74" s="319" customFormat="1" ht="14.25" customHeight="1"/>
    <row r="75" s="319" customFormat="1" ht="14.25" customHeight="1"/>
    <row r="76" s="319" customFormat="1" ht="14.25" customHeight="1"/>
    <row r="77" s="319" customFormat="1" ht="14.25" customHeight="1"/>
    <row r="78" s="319" customFormat="1" ht="14.25" customHeight="1"/>
    <row r="79" s="319" customFormat="1" ht="14.25" customHeight="1"/>
    <row r="80" s="319" customFormat="1" ht="14.25" customHeight="1"/>
    <row r="81" s="319" customFormat="1" ht="14.25" customHeight="1"/>
    <row r="82" s="319" customFormat="1" ht="14.25" customHeight="1"/>
    <row r="83" s="319" customFormat="1" ht="14.25" customHeight="1"/>
    <row r="84" s="319" customFormat="1" ht="14.25" customHeight="1"/>
    <row r="85" s="319" customFormat="1" ht="14.25" customHeight="1"/>
    <row r="86" s="319" customFormat="1" ht="14.25" customHeight="1"/>
    <row r="87" s="319" customFormat="1" ht="14.25" customHeight="1"/>
    <row r="88" s="319" customFormat="1" ht="14.25" customHeight="1"/>
    <row r="89" s="319" customFormat="1" ht="14.25" customHeight="1"/>
    <row r="90" s="319" customFormat="1" ht="14.25" customHeight="1"/>
    <row r="91" s="319" customFormat="1" ht="14.25" customHeight="1"/>
    <row r="92" s="319" customFormat="1" ht="14.25" customHeight="1"/>
    <row r="93" s="319" customFormat="1" ht="14.25" customHeight="1"/>
    <row r="94" s="319" customFormat="1" ht="14.25" customHeight="1"/>
    <row r="95" s="319" customFormat="1" ht="14.25" customHeight="1"/>
    <row r="96" s="319" customFormat="1" ht="14.25" customHeight="1"/>
    <row r="97" s="319" customFormat="1" ht="14.25" customHeight="1"/>
    <row r="98" s="319" customFormat="1" ht="14.25" customHeight="1"/>
    <row r="99" s="319" customFormat="1" ht="14.25" customHeight="1"/>
    <row r="100" s="319" customFormat="1" ht="14.25" customHeight="1"/>
    <row r="101" s="319" customFormat="1" ht="14.25" customHeight="1"/>
    <row r="102" s="319" customFormat="1" ht="14.25" customHeight="1"/>
    <row r="103" s="319" customFormat="1" ht="14.25" customHeight="1"/>
    <row r="104" s="319" customFormat="1" ht="14.25" customHeight="1"/>
    <row r="105" s="319" customFormat="1" ht="14.25" customHeight="1"/>
    <row r="106" s="319" customFormat="1" ht="14.25" customHeight="1"/>
    <row r="107" s="319" customFormat="1" ht="14.25" customHeight="1"/>
    <row r="108" s="319" customFormat="1" ht="14.25" customHeight="1"/>
    <row r="109" s="319" customFormat="1" ht="14.25" customHeight="1"/>
    <row r="110" s="319" customFormat="1" ht="14.25" customHeight="1"/>
    <row r="111" s="319" customFormat="1" ht="14.25" customHeight="1"/>
    <row r="112" s="319" customFormat="1" ht="14.25" customHeight="1"/>
    <row r="113" s="319" customFormat="1" ht="14.25" customHeight="1"/>
    <row r="114" s="319" customFormat="1" ht="14.25" customHeight="1"/>
    <row r="115" s="319" customFormat="1" ht="14.25" customHeight="1"/>
    <row r="116" s="319" customFormat="1" ht="14.25" customHeight="1"/>
    <row r="117" s="319" customFormat="1" ht="14.25" customHeight="1"/>
    <row r="118" s="319" customFormat="1" ht="14.25" customHeight="1"/>
    <row r="119" s="319" customFormat="1" ht="14.25" customHeight="1"/>
    <row r="120" s="319" customFormat="1" ht="14.25" customHeight="1"/>
    <row r="121" s="319" customFormat="1" ht="14.25" customHeight="1"/>
    <row r="122" s="319" customFormat="1" ht="14.25" customHeight="1"/>
    <row r="123" s="319" customFormat="1" ht="14.25" customHeight="1"/>
    <row r="124" s="319" customFormat="1" ht="14.25" customHeight="1"/>
    <row r="125" s="319" customFormat="1" ht="14.25" customHeight="1"/>
    <row r="126" s="319" customFormat="1" ht="14.25" customHeight="1"/>
    <row r="127" s="319" customFormat="1" ht="14.25" customHeight="1"/>
    <row r="128" s="319" customFormat="1" ht="14.25" customHeight="1"/>
    <row r="129" s="319" customFormat="1" ht="14.25" customHeight="1"/>
    <row r="130" s="319" customFormat="1" ht="14.25" customHeight="1"/>
    <row r="131" s="319" customFormat="1" ht="14.25" customHeight="1"/>
    <row r="132" s="319" customFormat="1" ht="14.25" customHeight="1"/>
    <row r="133" s="319" customFormat="1" ht="14.25" customHeight="1"/>
    <row r="134" s="319" customFormat="1" ht="14.25" customHeight="1"/>
    <row r="135" s="319" customFormat="1" ht="14.25" customHeight="1"/>
    <row r="136" s="319" customFormat="1" ht="14.25" customHeight="1"/>
    <row r="137" s="319" customFormat="1" ht="14.25" customHeight="1"/>
    <row r="138" s="319" customFormat="1" ht="14.25" customHeight="1"/>
    <row r="139" s="319" customFormat="1" ht="14.25" customHeight="1"/>
    <row r="140" s="319" customFormat="1" ht="14.25" customHeight="1"/>
    <row r="141" s="319" customFormat="1" ht="14.25" customHeight="1"/>
    <row r="142" s="319" customFormat="1" ht="14.25" customHeight="1"/>
    <row r="143" s="319" customFormat="1" ht="14.25" customHeight="1"/>
    <row r="144" s="319" customFormat="1" ht="14.25" customHeight="1"/>
    <row r="145" s="319" customFormat="1" ht="14.25" customHeight="1"/>
    <row r="146" s="319" customFormat="1" ht="14.25" customHeight="1"/>
    <row r="147" s="319" customFormat="1" ht="14.25" customHeight="1"/>
    <row r="148" s="319" customFormat="1" ht="14.25" customHeight="1"/>
    <row r="149" s="319" customFormat="1" ht="14.25" customHeight="1"/>
    <row r="150" s="319" customFormat="1" ht="14.25" customHeight="1"/>
    <row r="151" s="319" customFormat="1" ht="14.25" customHeight="1"/>
    <row r="152" s="319" customFormat="1" ht="14.25" customHeight="1"/>
    <row r="153" s="319" customFormat="1" ht="14.25" customHeight="1"/>
    <row r="154" s="319" customFormat="1" ht="14.25" customHeight="1"/>
    <row r="155" s="319" customFormat="1" ht="14.25" customHeight="1"/>
    <row r="156" s="319" customFormat="1" ht="14.25" customHeight="1"/>
    <row r="157" s="319" customFormat="1" ht="14.25" customHeight="1"/>
    <row r="158" s="319" customFormat="1" ht="14.25" customHeight="1"/>
    <row r="159" s="319" customFormat="1" ht="14.25" customHeight="1"/>
    <row r="160" s="319" customFormat="1" ht="14.25" customHeight="1"/>
    <row r="161" s="319" customFormat="1" ht="14.25" customHeight="1"/>
    <row r="162" s="319" customFormat="1" ht="14.25" customHeight="1"/>
    <row r="163" s="319" customFormat="1" ht="14.25" customHeight="1"/>
    <row r="164" s="319" customFormat="1" ht="14.25" customHeight="1"/>
    <row r="165" s="319" customFormat="1" ht="14.25" customHeight="1"/>
    <row r="166" s="319" customFormat="1" ht="14.25" customHeight="1"/>
    <row r="167" s="319" customFormat="1" ht="14.25" customHeight="1"/>
    <row r="168" s="319" customFormat="1" ht="14.25" customHeight="1"/>
    <row r="169" s="319" customFormat="1" ht="14.25" customHeight="1"/>
    <row r="170" s="319" customFormat="1" ht="14.25" customHeight="1"/>
    <row r="171" s="319" customFormat="1" ht="14.25" customHeight="1"/>
    <row r="172" s="319" customFormat="1" ht="14.25" customHeight="1"/>
    <row r="173" s="319" customFormat="1" ht="14.25" customHeight="1"/>
    <row r="174" s="319" customFormat="1" ht="14.25" customHeight="1"/>
    <row r="175" s="319" customFormat="1" ht="14.25" customHeight="1"/>
    <row r="176" s="319" customFormat="1" ht="14.25" customHeight="1"/>
    <row r="177" s="319" customFormat="1" ht="14.25" customHeight="1"/>
    <row r="178" s="319" customFormat="1" ht="14.25" customHeight="1"/>
    <row r="179" s="319" customFormat="1" ht="14.25" customHeight="1"/>
    <row r="180" s="319" customFormat="1" ht="14.25" customHeight="1"/>
    <row r="181" s="319" customFormat="1" ht="14.25" customHeight="1"/>
    <row r="182" s="319" customFormat="1" ht="14.25" customHeight="1"/>
    <row r="183" s="319" customFormat="1" ht="14.25" customHeight="1"/>
    <row r="184" s="319" customFormat="1" ht="14.25" customHeight="1"/>
    <row r="185" s="319" customFormat="1" ht="14.25" customHeight="1"/>
    <row r="186" s="319" customFormat="1" ht="14.25" customHeight="1"/>
    <row r="187" s="319" customFormat="1" ht="14.25" customHeight="1"/>
    <row r="188" s="319" customFormat="1" ht="14.25" customHeight="1"/>
    <row r="189" s="319" customFormat="1" ht="14.25" customHeight="1"/>
    <row r="190" s="319" customFormat="1" ht="14.25" customHeight="1"/>
    <row r="191" s="319" customFormat="1" ht="14.25" customHeight="1"/>
    <row r="192" s="319" customFormat="1" ht="14.25" customHeight="1"/>
    <row r="193" s="319" customFormat="1" ht="14.25" customHeight="1"/>
    <row r="194" s="319" customFormat="1" ht="14.25" customHeight="1"/>
    <row r="195" s="319" customFormat="1" ht="14.25" customHeight="1"/>
    <row r="196" s="319" customFormat="1" ht="14.25" customHeight="1"/>
    <row r="197" s="319" customFormat="1" ht="14.25" customHeight="1"/>
    <row r="198" s="319" customFormat="1" ht="14.25" customHeight="1"/>
    <row r="199" s="319" customFormat="1" ht="14.25" customHeight="1"/>
    <row r="200" s="319" customFormat="1" ht="14.25" customHeight="1"/>
    <row r="201" s="319" customFormat="1" ht="14.25" customHeight="1"/>
    <row r="202" s="319" customFormat="1" ht="14.25" customHeight="1"/>
    <row r="203" s="319" customFormat="1" ht="14.25" customHeight="1"/>
    <row r="204" s="319" customFormat="1" ht="14.25" customHeight="1"/>
    <row r="205" s="319" customFormat="1" ht="14.25" customHeight="1"/>
    <row r="206" s="319" customFormat="1" ht="14.25" customHeight="1"/>
    <row r="207" s="319" customFormat="1" ht="14.25" customHeight="1"/>
    <row r="208" s="319" customFormat="1" ht="14.25" customHeight="1"/>
    <row r="209" s="319" customFormat="1" ht="14.25" customHeight="1"/>
    <row r="210" s="319" customFormat="1" ht="14.25" customHeight="1"/>
    <row r="211" s="319" customFormat="1" ht="14.25" customHeight="1"/>
    <row r="212" s="319" customFormat="1" ht="14.25" customHeight="1"/>
    <row r="213" s="319" customFormat="1" ht="14.25" customHeight="1"/>
    <row r="214" s="319" customFormat="1" ht="14.25" customHeight="1"/>
    <row r="215" s="319" customFormat="1" ht="14.25" customHeight="1"/>
    <row r="216" s="319" customFormat="1" ht="14.25" customHeight="1"/>
    <row r="217" s="319" customFormat="1" ht="14.25" customHeight="1"/>
    <row r="218" s="319" customFormat="1" ht="14.25" customHeight="1"/>
    <row r="219" s="319" customFormat="1" ht="14.25" customHeight="1"/>
    <row r="220" s="319" customFormat="1" ht="14.25" customHeight="1"/>
    <row r="221" s="319" customFormat="1" ht="14.25" customHeight="1"/>
    <row r="222" s="319" customFormat="1" ht="14.25" customHeight="1"/>
    <row r="223" s="319" customFormat="1" ht="14.25" customHeight="1"/>
    <row r="224" s="319" customFormat="1" ht="14.25" customHeight="1"/>
    <row r="225" s="319" customFormat="1" ht="14.25" customHeight="1"/>
    <row r="226" s="319" customFormat="1" ht="14.25" customHeight="1"/>
    <row r="227" s="319" customFormat="1" ht="14.25" customHeight="1"/>
    <row r="228" s="319" customFormat="1" ht="14.25" customHeight="1"/>
    <row r="229" s="319" customFormat="1" ht="14.25" customHeight="1"/>
    <row r="230" s="319" customFormat="1" ht="14.25" customHeight="1"/>
    <row r="231" s="319" customFormat="1" ht="14.25" customHeight="1"/>
    <row r="232" s="319" customFormat="1" ht="14.25" customHeight="1"/>
    <row r="233" s="319" customFormat="1" ht="14.25" customHeight="1"/>
    <row r="234" s="319" customFormat="1" ht="14.25" customHeight="1"/>
    <row r="235" s="319" customFormat="1" ht="14.25" customHeight="1"/>
    <row r="236" s="319" customFormat="1" ht="14.25" customHeight="1"/>
    <row r="237" s="319" customFormat="1" ht="14.25" customHeight="1"/>
    <row r="238" s="319" customFormat="1" ht="14.25" customHeight="1"/>
    <row r="239" s="319" customFormat="1" ht="14.25" customHeight="1"/>
    <row r="240" s="319" customFormat="1" ht="14.25" customHeight="1"/>
    <row r="241" s="319" customFormat="1" ht="14.25" customHeight="1"/>
    <row r="242" s="319" customFormat="1" ht="14.25" customHeight="1"/>
    <row r="243" s="319" customFormat="1" ht="14.25" customHeight="1"/>
    <row r="244" s="319" customFormat="1" ht="14.25" customHeight="1"/>
    <row r="245" s="319" customFormat="1" ht="14.25" customHeight="1"/>
    <row r="246" s="319" customFormat="1" ht="14.25" customHeight="1"/>
    <row r="247" s="319" customFormat="1" ht="14.25" customHeight="1"/>
    <row r="248" s="319" customFormat="1" ht="14.25" customHeight="1"/>
    <row r="249" s="319" customFormat="1" ht="14.25" customHeight="1"/>
    <row r="250" s="319" customFormat="1" ht="14.25" customHeight="1"/>
    <row r="251" s="319" customFormat="1" ht="14.25" customHeight="1"/>
    <row r="252" s="319" customFormat="1" ht="14.25" customHeight="1"/>
    <row r="253" s="319" customFormat="1" ht="14.25" customHeight="1"/>
    <row r="254" s="319" customFormat="1" ht="14.25" customHeight="1"/>
    <row r="255" s="319" customFormat="1" ht="14.25" customHeight="1"/>
    <row r="256" s="319" customFormat="1" ht="14.25" customHeight="1"/>
    <row r="257" s="319" customFormat="1" ht="14.25" customHeight="1"/>
    <row r="258" s="319" customFormat="1" ht="14.25" customHeight="1"/>
    <row r="259" s="319" customFormat="1" ht="14.25" customHeight="1"/>
    <row r="260" s="319" customFormat="1" ht="14.25" customHeight="1"/>
    <row r="261" s="319" customFormat="1" ht="14.25" customHeight="1"/>
    <row r="262" s="319" customFormat="1" ht="14.25" customHeight="1"/>
    <row r="263" s="319" customFormat="1" ht="14.25" customHeight="1"/>
    <row r="264" s="319" customFormat="1" ht="14.25" customHeight="1"/>
    <row r="265" s="319" customFormat="1" ht="14.25" customHeight="1"/>
    <row r="266" s="319" customFormat="1" ht="14.25" customHeight="1"/>
    <row r="267" s="319" customFormat="1" ht="14.25" customHeight="1"/>
    <row r="268" s="319" customFormat="1" ht="14.25" customHeight="1"/>
    <row r="269" s="319" customFormat="1" ht="14.25" customHeight="1"/>
    <row r="270" s="319" customFormat="1" ht="14.25" customHeight="1"/>
    <row r="271" s="319" customFormat="1" ht="14.25" customHeight="1"/>
    <row r="272" s="319" customFormat="1" ht="14.25" customHeight="1"/>
    <row r="273" s="319" customFormat="1" ht="14.25" customHeight="1"/>
    <row r="274" s="319" customFormat="1" ht="14.25" customHeight="1"/>
    <row r="275" s="319" customFormat="1" ht="14.25" customHeight="1"/>
    <row r="276" s="319" customFormat="1" ht="14.25" customHeight="1"/>
    <row r="277" s="319" customFormat="1" ht="14.25" customHeight="1"/>
    <row r="278" s="319" customFormat="1" ht="14.25" customHeight="1"/>
    <row r="279" s="319" customFormat="1" ht="14.25" customHeight="1"/>
    <row r="280" s="319" customFormat="1" ht="14.25" customHeight="1"/>
    <row r="281" s="319" customFormat="1" ht="14.25" customHeight="1"/>
    <row r="282" s="319" customFormat="1" ht="14.25" customHeight="1"/>
    <row r="283" s="319" customFormat="1" ht="14.25" customHeight="1"/>
    <row r="284" s="319" customFormat="1" ht="14.25" customHeight="1"/>
    <row r="285" s="319" customFormat="1" ht="14.25" customHeight="1"/>
    <row r="286" s="319" customFormat="1" ht="14.25" customHeight="1"/>
    <row r="287" s="319" customFormat="1" ht="14.25" customHeight="1"/>
    <row r="288" s="319" customFormat="1" ht="14.25" customHeight="1"/>
    <row r="289" s="319" customFormat="1" ht="14.25" customHeight="1"/>
    <row r="290" s="319" customFormat="1" ht="14.25" customHeight="1"/>
    <row r="291" s="319" customFormat="1" ht="14.25" customHeight="1"/>
    <row r="292" s="319" customFormat="1" ht="14.25" customHeight="1"/>
    <row r="293" s="319" customFormat="1" ht="14.25" customHeight="1"/>
    <row r="294" s="319" customFormat="1" ht="14.25" customHeight="1"/>
    <row r="295" s="319" customFormat="1" ht="14.25" customHeight="1"/>
    <row r="296" s="319" customFormat="1" ht="14.25" customHeight="1"/>
    <row r="297" s="319" customFormat="1" ht="14.25" customHeight="1"/>
    <row r="298" s="319" customFormat="1" ht="14.25" customHeight="1"/>
    <row r="299" s="319" customFormat="1" ht="14.25" customHeight="1"/>
    <row r="300" s="319" customFormat="1" ht="14.25" customHeight="1"/>
    <row r="301" s="319" customFormat="1" ht="14.25" customHeight="1"/>
    <row r="302" s="319" customFormat="1" ht="14.25" customHeight="1"/>
    <row r="303" s="319" customFormat="1" ht="14.25" customHeight="1"/>
    <row r="304" s="319" customFormat="1" ht="14.25" customHeight="1"/>
    <row r="305" s="319" customFormat="1" ht="14.25" customHeight="1"/>
    <row r="306" s="319" customFormat="1" ht="14.25" customHeight="1"/>
    <row r="307" s="319" customFormat="1" ht="14.25" customHeight="1"/>
    <row r="308" s="319" customFormat="1" ht="14.25" customHeight="1"/>
    <row r="309" s="319" customFormat="1" ht="14.25" customHeight="1"/>
    <row r="310" s="319" customFormat="1" ht="14.25" customHeight="1"/>
    <row r="311" s="319" customFormat="1" ht="14.25" customHeight="1"/>
    <row r="312" s="319" customFormat="1" ht="14.25" customHeight="1"/>
    <row r="313" s="319" customFormat="1" ht="14.25" customHeight="1"/>
    <row r="314" s="319" customFormat="1" ht="14.25" customHeight="1"/>
    <row r="315" s="319" customFormat="1" ht="14.25" customHeight="1"/>
    <row r="316" s="319" customFormat="1" ht="14.25" customHeight="1"/>
    <row r="317" s="319" customFormat="1" ht="14.25" customHeight="1"/>
    <row r="318" s="319" customFormat="1" ht="14.25" customHeight="1"/>
    <row r="319" s="319" customFormat="1" ht="14.25" customHeight="1"/>
    <row r="320" s="319" customFormat="1" ht="14.25" customHeight="1"/>
    <row r="321" s="319" customFormat="1" ht="14.25" customHeight="1"/>
    <row r="322" s="319" customFormat="1" ht="14.25" customHeight="1"/>
    <row r="323" s="319" customFormat="1" ht="14.25" customHeight="1"/>
    <row r="324" s="319" customFormat="1" ht="14.25" customHeight="1"/>
    <row r="325" s="319" customFormat="1" ht="14.25" customHeight="1"/>
    <row r="326" s="319" customFormat="1" ht="14.25" customHeight="1"/>
    <row r="327" s="319" customFormat="1" ht="14.25" customHeight="1"/>
    <row r="328" s="319" customFormat="1" ht="14.25" customHeight="1"/>
    <row r="329" s="319" customFormat="1" ht="14.25" customHeight="1"/>
    <row r="330" s="319" customFormat="1" ht="14.25" customHeight="1"/>
    <row r="331" s="319" customFormat="1" ht="14.25" customHeight="1"/>
    <row r="332" s="319" customFormat="1" ht="14.25" customHeight="1"/>
    <row r="333" s="319" customFormat="1" ht="14.25" customHeight="1"/>
    <row r="334" s="319" customFormat="1" ht="14.25" customHeight="1"/>
    <row r="335" s="319" customFormat="1" ht="14.25" customHeight="1"/>
    <row r="336" s="319" customFormat="1" ht="14.25" customHeight="1"/>
    <row r="337" s="319" customFormat="1" ht="14.25" customHeight="1"/>
    <row r="338" s="319" customFormat="1" ht="14.25" customHeight="1"/>
    <row r="339" s="319" customFormat="1" ht="14.25" customHeight="1"/>
    <row r="340" s="319" customFormat="1" ht="14.25" customHeight="1"/>
    <row r="341" s="319" customFormat="1" ht="14.25" customHeight="1"/>
    <row r="342" s="319" customFormat="1" ht="14.25" customHeight="1"/>
    <row r="343" s="319" customFormat="1" ht="14.25" customHeight="1"/>
    <row r="344" s="319" customFormat="1" ht="14.25" customHeight="1"/>
    <row r="345" s="319" customFormat="1" ht="14.25" customHeight="1"/>
    <row r="346" s="319" customFormat="1" ht="14.25" customHeight="1"/>
    <row r="347" s="319" customFormat="1" ht="14.25" customHeight="1"/>
    <row r="348" s="319" customFormat="1" ht="14.25" customHeight="1"/>
    <row r="349" s="319" customFormat="1" ht="14.25" customHeight="1"/>
    <row r="350" s="319" customFormat="1" ht="14.25" customHeight="1"/>
    <row r="351" s="319" customFormat="1" ht="14.25" customHeight="1"/>
    <row r="352" s="319" customFormat="1" ht="14.25" customHeight="1"/>
    <row r="353" s="319" customFormat="1" ht="14.25" customHeight="1"/>
    <row r="354" s="319" customFormat="1" ht="14.25" customHeight="1"/>
    <row r="355" s="319" customFormat="1" ht="14.25" customHeight="1"/>
    <row r="356" s="319" customFormat="1" ht="14.25" customHeight="1"/>
    <row r="357" s="319" customFormat="1" ht="14.25" customHeight="1"/>
    <row r="358" s="319" customFormat="1" ht="14.25" customHeight="1"/>
    <row r="359" s="319" customFormat="1" ht="14.25" customHeight="1"/>
    <row r="360" s="319" customFormat="1" ht="14.25" customHeight="1"/>
    <row r="361" s="319" customFormat="1" ht="14.25" customHeight="1"/>
    <row r="362" s="319" customFormat="1" ht="14.25" customHeight="1"/>
    <row r="363" s="319" customFormat="1" ht="14.25" customHeight="1"/>
    <row r="364" s="319" customFormat="1" ht="14.25" customHeight="1"/>
    <row r="365" s="319" customFormat="1" ht="14.25" customHeight="1"/>
    <row r="366" s="319" customFormat="1" ht="14.25" customHeight="1"/>
    <row r="367" s="319" customFormat="1" ht="14.25" customHeight="1"/>
    <row r="368" s="319" customFormat="1" ht="14.25" customHeight="1"/>
    <row r="369" s="319" customFormat="1" ht="14.25" customHeight="1"/>
    <row r="370" s="319" customFormat="1" ht="14.25" customHeight="1"/>
    <row r="371" s="319" customFormat="1" ht="14.25" customHeight="1"/>
    <row r="372" s="319" customFormat="1" ht="14.25" customHeight="1"/>
    <row r="373" s="319" customFormat="1" ht="14.25" customHeight="1"/>
    <row r="374" s="319" customFormat="1" ht="14.25" customHeight="1"/>
    <row r="375" s="319" customFormat="1" ht="14.25" customHeight="1"/>
    <row r="376" s="319" customFormat="1" ht="14.25" customHeight="1"/>
    <row r="377" s="319" customFormat="1" ht="14.25" customHeight="1"/>
    <row r="378" s="319" customFormat="1" ht="14.25" customHeight="1"/>
    <row r="379" s="319" customFormat="1" ht="14.25" customHeight="1"/>
    <row r="380" s="319" customFormat="1" ht="14.25" customHeight="1"/>
    <row r="381" s="319" customFormat="1" ht="14.25" customHeight="1"/>
    <row r="382" s="319" customFormat="1" ht="14.25" customHeight="1"/>
    <row r="383" s="319" customFormat="1" ht="14.25" customHeight="1"/>
    <row r="384" s="319" customFormat="1" ht="14.25" customHeight="1"/>
    <row r="385" s="319" customFormat="1" ht="14.25" customHeight="1"/>
    <row r="386" s="319" customFormat="1" ht="14.25" customHeight="1"/>
    <row r="387" s="319" customFormat="1" ht="14.25" customHeight="1"/>
    <row r="388" s="319" customFormat="1" ht="14.25" customHeight="1"/>
    <row r="389" s="319" customFormat="1" ht="14.25" customHeight="1"/>
    <row r="390" s="319" customFormat="1" ht="14.25" customHeight="1"/>
    <row r="391" s="319" customFormat="1" ht="14.25" customHeight="1"/>
    <row r="392" s="319" customFormat="1" ht="14.25" customHeight="1"/>
    <row r="393" s="319" customFormat="1" ht="14.25" customHeight="1"/>
    <row r="394" s="319" customFormat="1" ht="14.25" customHeight="1"/>
    <row r="395" s="319" customFormat="1" ht="14.25" customHeight="1"/>
    <row r="396" s="319" customFormat="1" ht="14.25" customHeight="1"/>
    <row r="397" s="319" customFormat="1" ht="14.25" customHeight="1"/>
    <row r="398" s="319" customFormat="1" ht="14.25" customHeight="1"/>
    <row r="399" s="319" customFormat="1" ht="14.25" customHeight="1"/>
    <row r="400" s="319" customFormat="1" ht="14.25" customHeight="1"/>
    <row r="401" s="319" customFormat="1" ht="14.25" customHeight="1"/>
    <row r="402" s="319" customFormat="1" ht="14.25" customHeight="1"/>
    <row r="403" s="319" customFormat="1" ht="14.25" customHeight="1"/>
    <row r="404" s="319" customFormat="1" ht="14.25" customHeight="1"/>
    <row r="405" s="319" customFormat="1" ht="14.25" customHeight="1"/>
    <row r="406" s="319" customFormat="1" ht="14.25" customHeight="1"/>
    <row r="407" s="319" customFormat="1" ht="14.25" customHeight="1"/>
    <row r="408" s="319" customFormat="1" ht="14.25" customHeight="1"/>
    <row r="409" s="319" customFormat="1" ht="14.25" customHeight="1"/>
    <row r="410" s="319" customFormat="1" ht="14.25" customHeight="1"/>
    <row r="411" s="319" customFormat="1" ht="14.25" customHeight="1"/>
    <row r="412" s="319" customFormat="1" ht="14.25" customHeight="1"/>
    <row r="413" s="319" customFormat="1" ht="14.25" customHeight="1"/>
    <row r="414" s="319" customFormat="1" ht="14.25" customHeight="1"/>
    <row r="415" s="319" customFormat="1" ht="14.25" customHeight="1"/>
    <row r="416" s="319" customFormat="1" ht="14.25" customHeight="1"/>
    <row r="417" s="319" customFormat="1" ht="14.25" customHeight="1"/>
    <row r="418" s="319" customFormat="1" ht="14.25" customHeight="1"/>
    <row r="419" s="319" customFormat="1" ht="14.25" customHeight="1"/>
    <row r="420" s="319" customFormat="1" ht="14.25" customHeight="1"/>
    <row r="421" s="319" customFormat="1" ht="14.25" customHeight="1"/>
    <row r="422" s="319" customFormat="1" ht="14.25" customHeight="1"/>
    <row r="423" s="319" customFormat="1" ht="14.25" customHeight="1"/>
    <row r="424" s="319" customFormat="1" ht="14.25" customHeight="1"/>
    <row r="425" s="319" customFormat="1" ht="14.25" customHeight="1"/>
    <row r="426" s="319" customFormat="1" ht="14.25" customHeight="1"/>
    <row r="427" s="319" customFormat="1" ht="14.25" customHeight="1"/>
    <row r="428" s="319" customFormat="1" ht="14.25" customHeight="1"/>
    <row r="429" s="319" customFormat="1" ht="14.25" customHeight="1"/>
    <row r="430" s="319" customFormat="1" ht="14.25" customHeight="1"/>
    <row r="431" s="319" customFormat="1" ht="14.25" customHeight="1"/>
    <row r="432" s="319" customFormat="1" ht="14.25" customHeight="1"/>
    <row r="433" s="319" customFormat="1" ht="14.25" customHeight="1"/>
    <row r="434" s="319" customFormat="1" ht="14.25" customHeight="1"/>
    <row r="435" s="319" customFormat="1" ht="14.25" customHeight="1"/>
    <row r="436" s="319" customFormat="1" ht="14.25" customHeight="1"/>
    <row r="437" s="319" customFormat="1" ht="14.25" customHeight="1"/>
    <row r="438" s="319" customFormat="1" ht="14.25" customHeight="1"/>
    <row r="439" s="319" customFormat="1" ht="14.25" customHeight="1"/>
    <row r="440" s="319" customFormat="1" ht="14.25" customHeight="1"/>
    <row r="441" s="319" customFormat="1" ht="14.25" customHeight="1"/>
    <row r="442" s="319" customFormat="1" ht="14.25" customHeight="1"/>
    <row r="443" s="319" customFormat="1" ht="14.25" customHeight="1"/>
    <row r="444" s="319" customFormat="1" ht="14.25" customHeight="1"/>
    <row r="445" s="319" customFormat="1" ht="14.25" customHeight="1"/>
    <row r="446" s="319" customFormat="1" ht="14.25" customHeight="1"/>
    <row r="447" s="319" customFormat="1" ht="14.25" customHeight="1"/>
    <row r="448" s="319" customFormat="1" ht="14.25" customHeight="1"/>
    <row r="449" s="319" customFormat="1" ht="14.25" customHeight="1"/>
    <row r="450" s="319" customFormat="1" ht="14.25" customHeight="1"/>
    <row r="451" s="319" customFormat="1" ht="14.25" customHeight="1"/>
    <row r="452" s="319" customFormat="1" ht="14.25" customHeight="1"/>
    <row r="453" s="319" customFormat="1" ht="14.25" customHeight="1"/>
    <row r="454" s="319" customFormat="1" ht="14.25" customHeight="1"/>
    <row r="455" s="319" customFormat="1" ht="14.25" customHeight="1"/>
    <row r="456" s="319" customFormat="1" ht="14.25" customHeight="1"/>
    <row r="457" s="319" customFormat="1" ht="14.25" customHeight="1"/>
    <row r="458" s="319" customFormat="1" ht="14.25" customHeight="1"/>
    <row r="459" s="319" customFormat="1" ht="14.25" customHeight="1"/>
    <row r="460" s="319" customFormat="1" ht="14.25" customHeight="1"/>
    <row r="461" s="319" customFormat="1" ht="14.25" customHeight="1"/>
    <row r="462" s="319" customFormat="1" ht="14.25" customHeight="1"/>
    <row r="463" s="319" customFormat="1" ht="14.25" customHeight="1"/>
    <row r="464" s="319" customFormat="1" ht="14.25" customHeight="1"/>
    <row r="465" s="319" customFormat="1" ht="14.25" customHeight="1"/>
    <row r="466" s="319" customFormat="1" ht="14.25" customHeight="1"/>
    <row r="467" s="319" customFormat="1" ht="14.25" customHeight="1"/>
    <row r="468" s="319" customFormat="1" ht="14.25" customHeight="1"/>
    <row r="469" s="319" customFormat="1" ht="14.25" customHeight="1"/>
    <row r="470" s="319" customFormat="1" ht="14.25" customHeight="1"/>
    <row r="471" s="319" customFormat="1" ht="14.25" customHeight="1"/>
    <row r="472" s="319" customFormat="1" ht="14.25" customHeight="1"/>
    <row r="473" s="319" customFormat="1" ht="14.25" customHeight="1"/>
    <row r="474" s="319" customFormat="1" ht="14.25" customHeight="1"/>
    <row r="475" s="319" customFormat="1" ht="14.25" customHeight="1"/>
    <row r="476" s="319" customFormat="1" ht="14.25" customHeight="1"/>
    <row r="477" s="319" customFormat="1" ht="14.25" customHeight="1"/>
    <row r="478" s="319" customFormat="1" ht="14.25" customHeight="1"/>
    <row r="479" s="319" customFormat="1" ht="14.25" customHeight="1"/>
    <row r="480" s="319" customFormat="1" ht="14.25" customHeight="1"/>
    <row r="481" s="319" customFormat="1" ht="14.25" customHeight="1"/>
    <row r="482" s="319" customFormat="1" ht="14.25" customHeight="1"/>
    <row r="483" s="319" customFormat="1" ht="14.25" customHeight="1"/>
    <row r="484" s="319" customFormat="1" ht="14.25" customHeight="1"/>
    <row r="485" s="319" customFormat="1" ht="14.25" customHeight="1"/>
    <row r="486" s="319" customFormat="1" ht="14.25" customHeight="1"/>
    <row r="487" s="319" customFormat="1" ht="14.25" customHeight="1"/>
    <row r="488" s="319" customFormat="1" ht="14.25" customHeight="1"/>
    <row r="489" s="319" customFormat="1" ht="14.25" customHeight="1"/>
    <row r="490" s="319" customFormat="1" ht="14.25" customHeight="1"/>
    <row r="491" s="319" customFormat="1" ht="14.25" customHeight="1"/>
    <row r="492" s="319" customFormat="1" ht="14.25" customHeight="1"/>
    <row r="493" s="319" customFormat="1" ht="14.25" customHeight="1"/>
    <row r="494" s="319" customFormat="1" ht="14.25" customHeight="1"/>
    <row r="495" s="319" customFormat="1" ht="14.25" customHeight="1"/>
    <row r="496" s="319" customFormat="1" ht="14.25" customHeight="1"/>
    <row r="497" s="319" customFormat="1" ht="14.25" customHeight="1"/>
    <row r="498" s="319" customFormat="1" ht="14.25" customHeight="1"/>
    <row r="499" s="319" customFormat="1" ht="14.25" customHeight="1"/>
    <row r="500" s="319" customFormat="1" ht="14.25" customHeight="1"/>
    <row r="501" s="319" customFormat="1" ht="14.25" customHeight="1"/>
    <row r="502" s="319" customFormat="1" ht="14.25" customHeight="1"/>
    <row r="503" s="319" customFormat="1" ht="14.25" customHeight="1"/>
    <row r="504" s="319" customFormat="1" ht="14.25" customHeight="1"/>
    <row r="505" s="319" customFormat="1" ht="14.25" customHeight="1"/>
    <row r="506" s="319" customFormat="1" ht="14.25" customHeight="1"/>
    <row r="507" s="319" customFormat="1" ht="14.25" customHeight="1"/>
    <row r="508" s="319" customFormat="1" ht="14.25" customHeight="1"/>
    <row r="509" s="319" customFormat="1" ht="14.25" customHeight="1"/>
    <row r="510" s="319" customFormat="1" ht="14.25" customHeight="1"/>
    <row r="511" s="319" customFormat="1" ht="14.25" customHeight="1"/>
    <row r="512" s="319" customFormat="1" ht="14.25" customHeight="1"/>
    <row r="513" s="319" customFormat="1" ht="14.25" customHeight="1"/>
    <row r="514" s="319" customFormat="1" ht="14.25" customHeight="1"/>
    <row r="515" s="319" customFormat="1" ht="14.25" customHeight="1"/>
    <row r="516" s="319" customFormat="1" ht="14.25" customHeight="1"/>
    <row r="517" s="319" customFormat="1" ht="14.25" customHeight="1"/>
    <row r="518" s="319" customFormat="1" ht="14.25" customHeight="1"/>
    <row r="519" s="319" customFormat="1" ht="14.25" customHeight="1"/>
    <row r="520" s="319" customFormat="1" ht="14.25" customHeight="1"/>
    <row r="521" s="319" customFormat="1" ht="14.25" customHeight="1"/>
    <row r="522" s="319" customFormat="1" ht="14.25" customHeight="1"/>
    <row r="523" s="319" customFormat="1" ht="14.25" customHeight="1"/>
    <row r="524" s="319" customFormat="1" ht="14.25" customHeight="1"/>
    <row r="525" s="319" customFormat="1" ht="14.25" customHeight="1"/>
    <row r="526" s="319" customFormat="1" ht="14.25" customHeight="1"/>
    <row r="527" s="319" customFormat="1" ht="14.25" customHeight="1"/>
    <row r="528" s="319" customFormat="1" ht="14.25" customHeight="1"/>
    <row r="529" s="319" customFormat="1" ht="14.25" customHeight="1"/>
    <row r="530" s="319" customFormat="1" ht="14.25" customHeight="1"/>
    <row r="531" s="319" customFormat="1" ht="14.25" customHeight="1"/>
    <row r="532" s="319" customFormat="1" ht="14.25" customHeight="1"/>
    <row r="533" s="319" customFormat="1" ht="14.25" customHeight="1"/>
    <row r="534" s="319" customFormat="1" ht="14.25" customHeight="1"/>
    <row r="535" s="319" customFormat="1" ht="14.25" customHeight="1"/>
    <row r="536" s="319" customFormat="1" ht="14.25" customHeight="1"/>
    <row r="537" s="319" customFormat="1" ht="14.25" customHeight="1"/>
    <row r="538" s="319" customFormat="1" ht="14.25" customHeight="1"/>
    <row r="539" s="319" customFormat="1" ht="14.25" customHeight="1"/>
    <row r="540" s="319" customFormat="1" ht="14.25" customHeight="1"/>
    <row r="541" s="319" customFormat="1" ht="14.25" customHeight="1"/>
    <row r="542" s="319" customFormat="1" ht="14.25" customHeight="1"/>
    <row r="543" s="319" customFormat="1" ht="14.25" customHeight="1"/>
    <row r="544" s="319" customFormat="1" ht="14.25" customHeight="1"/>
    <row r="545" s="319" customFormat="1" ht="14.25" customHeight="1"/>
    <row r="546" s="319" customFormat="1" ht="14.25" customHeight="1"/>
    <row r="547" s="319" customFormat="1" ht="14.25" customHeight="1"/>
    <row r="548" s="319" customFormat="1" ht="14.25" customHeight="1"/>
    <row r="549" s="319" customFormat="1" ht="14.25" customHeight="1"/>
    <row r="550" s="319" customFormat="1" ht="14.25" customHeight="1"/>
    <row r="551" s="319" customFormat="1" ht="14.25" customHeight="1"/>
    <row r="552" s="319" customFormat="1" ht="14.25" customHeight="1"/>
    <row r="553" s="319" customFormat="1" ht="14.25" customHeight="1"/>
    <row r="554" s="319" customFormat="1" ht="14.25" customHeight="1"/>
    <row r="555" s="319" customFormat="1" ht="14.25" customHeight="1"/>
    <row r="556" s="319" customFormat="1" ht="14.25" customHeight="1"/>
    <row r="557" s="319" customFormat="1" ht="14.25" customHeight="1"/>
    <row r="558" s="319" customFormat="1" ht="14.25" customHeight="1"/>
    <row r="559" s="319" customFormat="1" ht="14.25" customHeight="1"/>
    <row r="560" s="319" customFormat="1" ht="14.25" customHeight="1"/>
    <row r="561" s="319" customFormat="1" ht="14.25" customHeight="1"/>
    <row r="562" s="319" customFormat="1" ht="14.25" customHeight="1"/>
    <row r="563" s="319" customFormat="1" ht="14.25" customHeight="1"/>
    <row r="564" s="319" customFormat="1" ht="14.25" customHeight="1"/>
    <row r="565" s="319" customFormat="1" ht="14.25" customHeight="1"/>
    <row r="566" s="319" customFormat="1" ht="14.25" customHeight="1"/>
    <row r="567" s="319" customFormat="1" ht="14.25" customHeight="1"/>
    <row r="568" s="319" customFormat="1" ht="14.25" customHeight="1"/>
    <row r="569" s="319" customFormat="1" ht="14.25" customHeight="1"/>
    <row r="570" s="319" customFormat="1" ht="14.25" customHeight="1"/>
    <row r="571" s="319" customFormat="1" ht="14.25" customHeight="1"/>
    <row r="572" s="319" customFormat="1" ht="14.25" customHeight="1"/>
    <row r="573" s="319" customFormat="1" ht="14.25" customHeight="1"/>
    <row r="574" s="319" customFormat="1" ht="14.25" customHeight="1"/>
    <row r="575" s="319" customFormat="1" ht="14.25" customHeight="1"/>
    <row r="576" s="319" customFormat="1" ht="14.25" customHeight="1"/>
    <row r="577" s="319" customFormat="1" ht="14.25" customHeight="1"/>
    <row r="578" s="319" customFormat="1" ht="14.25" customHeight="1"/>
    <row r="579" s="319" customFormat="1" ht="14.25" customHeight="1"/>
    <row r="580" s="319" customFormat="1" ht="14.25" customHeight="1"/>
    <row r="581" s="319" customFormat="1" ht="14.25" customHeight="1"/>
    <row r="582" s="319" customFormat="1" ht="14.25" customHeight="1"/>
    <row r="583" s="319" customFormat="1" ht="14.25" customHeight="1"/>
    <row r="584" s="319" customFormat="1" ht="14.25" customHeight="1"/>
    <row r="585" s="319" customFormat="1" ht="14.25" customHeight="1"/>
    <row r="586" s="319" customFormat="1" ht="14.25" customHeight="1"/>
    <row r="587" s="319" customFormat="1" ht="14.25" customHeight="1"/>
    <row r="588" s="319" customFormat="1" ht="14.25" customHeight="1"/>
    <row r="589" s="319" customFormat="1" ht="14.25" customHeight="1"/>
    <row r="590" s="319" customFormat="1" ht="14.25" customHeight="1"/>
    <row r="591" s="319" customFormat="1" ht="14.25" customHeight="1"/>
    <row r="592" s="319" customFormat="1" ht="14.25" customHeight="1"/>
    <row r="593" s="319" customFormat="1" ht="14.25" customHeight="1"/>
    <row r="594" s="319" customFormat="1" ht="14.25" customHeight="1"/>
    <row r="595" s="319" customFormat="1" ht="14.25" customHeight="1"/>
    <row r="596" s="319" customFormat="1" ht="14.25" customHeight="1"/>
    <row r="597" s="319" customFormat="1" ht="14.25" customHeight="1"/>
    <row r="598" s="319" customFormat="1" ht="14.25" customHeight="1"/>
    <row r="599" s="319" customFormat="1" ht="14.25" customHeight="1"/>
    <row r="600" s="319" customFormat="1" ht="14.25" customHeight="1"/>
    <row r="601" s="319" customFormat="1" ht="14.25" customHeight="1"/>
    <row r="602" s="319" customFormat="1" ht="14.25" customHeight="1"/>
    <row r="603" s="319" customFormat="1" ht="14.25" customHeight="1"/>
    <row r="604" s="319" customFormat="1" ht="14.25" customHeight="1"/>
    <row r="605" s="319" customFormat="1" ht="14.25" customHeight="1"/>
    <row r="606" s="319" customFormat="1" ht="14.25" customHeight="1"/>
    <row r="607" s="319" customFormat="1" ht="14.25" customHeight="1"/>
    <row r="608" s="319" customFormat="1" ht="14.25" customHeight="1"/>
    <row r="609" s="319" customFormat="1" ht="14.25" customHeight="1"/>
    <row r="610" s="319" customFormat="1" ht="14.25" customHeight="1"/>
    <row r="611" s="319" customFormat="1" ht="14.25" customHeight="1"/>
    <row r="612" s="319" customFormat="1" ht="14.25" customHeight="1"/>
    <row r="613" s="319" customFormat="1" ht="14.25" customHeight="1"/>
    <row r="614" s="319" customFormat="1" ht="14.25" customHeight="1"/>
    <row r="615" s="319" customFormat="1" ht="14.25" customHeight="1"/>
    <row r="616" s="319" customFormat="1" ht="14.25" customHeight="1"/>
    <row r="617" s="319" customFormat="1" ht="14.25" customHeight="1"/>
    <row r="618" s="319" customFormat="1" ht="14.25" customHeight="1"/>
    <row r="619" s="319" customFormat="1" ht="14.25" customHeight="1"/>
    <row r="620" s="319" customFormat="1" ht="14.25" customHeight="1"/>
    <row r="621" s="319" customFormat="1" ht="14.25" customHeight="1"/>
    <row r="622" s="319" customFormat="1" ht="14.25" customHeight="1"/>
    <row r="623" s="319" customFormat="1" ht="14.25" customHeight="1"/>
    <row r="624" s="319" customFormat="1" ht="14.25" customHeight="1"/>
    <row r="625" s="319" customFormat="1" ht="14.25" customHeight="1"/>
    <row r="626" s="319" customFormat="1" ht="14.25" customHeight="1"/>
    <row r="627" s="319" customFormat="1" ht="14.25" customHeight="1"/>
    <row r="628" s="319" customFormat="1" ht="14.25" customHeight="1"/>
    <row r="629" s="319" customFormat="1" ht="14.25" customHeight="1"/>
    <row r="630" s="319" customFormat="1" ht="14.25" customHeight="1"/>
    <row r="631" s="319" customFormat="1" ht="14.25" customHeight="1"/>
    <row r="632" s="319" customFormat="1" ht="14.25" customHeight="1"/>
    <row r="633" s="319" customFormat="1" ht="14.25" customHeight="1"/>
    <row r="634" s="319" customFormat="1" ht="14.25" customHeight="1"/>
    <row r="635" s="319" customFormat="1" ht="14.25" customHeight="1"/>
    <row r="636" s="319" customFormat="1" ht="14.25" customHeight="1"/>
    <row r="637" s="319" customFormat="1" ht="14.25" customHeight="1"/>
    <row r="638" s="319" customFormat="1" ht="14.25" customHeight="1"/>
    <row r="639" s="319" customFormat="1" ht="14.25" customHeight="1"/>
    <row r="640" s="319" customFormat="1" ht="14.25" customHeight="1"/>
    <row r="641" s="319" customFormat="1" ht="14.25" customHeight="1"/>
    <row r="642" s="319" customFormat="1" ht="14.25" customHeight="1"/>
    <row r="643" s="319" customFormat="1" ht="14.25" customHeight="1"/>
    <row r="644" s="319" customFormat="1" ht="14.25" customHeight="1"/>
    <row r="645" s="319" customFormat="1" ht="14.25" customHeight="1"/>
    <row r="646" s="319" customFormat="1" ht="14.25" customHeight="1"/>
    <row r="647" s="319" customFormat="1" ht="14.25" customHeight="1"/>
    <row r="648" s="319" customFormat="1" ht="14.25" customHeight="1"/>
    <row r="649" s="319" customFormat="1" ht="14.25" customHeight="1"/>
    <row r="650" s="319" customFormat="1" ht="14.25" customHeight="1"/>
    <row r="651" s="319" customFormat="1" ht="14.25" customHeight="1"/>
    <row r="652" s="319" customFormat="1" ht="14.25" customHeight="1"/>
    <row r="653" s="319" customFormat="1" ht="14.25" customHeight="1"/>
    <row r="654" s="319" customFormat="1" ht="14.25" customHeight="1"/>
    <row r="655" s="319" customFormat="1" ht="14.25" customHeight="1"/>
    <row r="656" s="319" customFormat="1" ht="14.25" customHeight="1"/>
    <row r="657" s="319" customFormat="1" ht="14.25" customHeight="1"/>
    <row r="658" s="319" customFormat="1" ht="14.25" customHeight="1"/>
    <row r="659" s="319" customFormat="1" ht="14.25" customHeight="1"/>
    <row r="660" s="319" customFormat="1" ht="14.25" customHeight="1"/>
    <row r="661" s="319" customFormat="1" ht="14.25" customHeight="1"/>
    <row r="662" s="319" customFormat="1" ht="14.25" customHeight="1"/>
    <row r="663" s="319" customFormat="1" ht="14.25" customHeight="1"/>
    <row r="664" s="319" customFormat="1" ht="14.25" customHeight="1"/>
    <row r="665" s="319" customFormat="1" ht="14.25" customHeight="1"/>
    <row r="666" s="319" customFormat="1" ht="14.25" customHeight="1"/>
    <row r="667" s="319" customFormat="1" ht="14.25" customHeight="1"/>
    <row r="668" s="319" customFormat="1" ht="14.25" customHeight="1"/>
    <row r="669" s="319" customFormat="1" ht="14.25" customHeight="1"/>
    <row r="670" s="319" customFormat="1" ht="14.25" customHeight="1"/>
    <row r="671" s="319" customFormat="1" ht="14.25" customHeight="1"/>
    <row r="672" s="319" customFormat="1" ht="14.25" customHeight="1"/>
    <row r="673" s="319" customFormat="1" ht="14.25" customHeight="1"/>
    <row r="674" s="319" customFormat="1" ht="14.25" customHeight="1"/>
    <row r="675" s="319" customFormat="1" ht="14.25" customHeight="1"/>
    <row r="676" s="319" customFormat="1" ht="14.25" customHeight="1"/>
    <row r="677" s="319" customFormat="1" ht="14.25" customHeight="1"/>
    <row r="678" s="319" customFormat="1" ht="14.25" customHeight="1"/>
    <row r="679" s="319" customFormat="1" ht="14.25" customHeight="1"/>
    <row r="680" s="319" customFormat="1" ht="14.25" customHeight="1"/>
    <row r="681" s="319" customFormat="1" ht="14.25" customHeight="1"/>
    <row r="682" s="319" customFormat="1" ht="14.25" customHeight="1"/>
    <row r="683" s="319" customFormat="1" ht="14.25" customHeight="1"/>
    <row r="684" s="319" customFormat="1" ht="14.25" customHeight="1"/>
    <row r="685" s="319" customFormat="1" ht="14.25" customHeight="1"/>
    <row r="686" s="319" customFormat="1" ht="14.25" customHeight="1"/>
    <row r="687" s="319" customFormat="1" ht="14.25" customHeight="1"/>
    <row r="688" s="319" customFormat="1" ht="14.25" customHeight="1"/>
    <row r="689" s="319" customFormat="1" ht="14.25" customHeight="1"/>
    <row r="690" s="319" customFormat="1" ht="14.25" customHeight="1"/>
    <row r="691" s="319" customFormat="1" ht="14.25" customHeight="1"/>
    <row r="692" s="319" customFormat="1" ht="14.25" customHeight="1"/>
    <row r="693" s="319" customFormat="1" ht="14.25" customHeight="1"/>
    <row r="694" s="319" customFormat="1" ht="14.25" customHeight="1"/>
    <row r="695" s="319" customFormat="1" ht="14.25" customHeight="1"/>
    <row r="696" s="319" customFormat="1" ht="14.25" customHeight="1"/>
    <row r="697" s="319" customFormat="1" ht="14.25" customHeight="1"/>
    <row r="698" s="319" customFormat="1" ht="14.25" customHeight="1"/>
    <row r="699" s="319" customFormat="1" ht="14.25" customHeight="1"/>
    <row r="700" s="319" customFormat="1" ht="14.25" customHeight="1"/>
    <row r="701" s="319" customFormat="1" ht="14.25" customHeight="1"/>
    <row r="702" s="319" customFormat="1" ht="14.25" customHeight="1"/>
    <row r="703" s="319" customFormat="1" ht="14.25" customHeight="1"/>
    <row r="704" s="319" customFormat="1" ht="14.25" customHeight="1"/>
    <row r="705" s="319" customFormat="1" ht="14.25" customHeight="1"/>
    <row r="706" s="319" customFormat="1" ht="14.25" customHeight="1"/>
    <row r="707" s="319" customFormat="1" ht="14.25" customHeight="1"/>
    <row r="708" s="319" customFormat="1" ht="14.25" customHeight="1"/>
    <row r="709" s="319" customFormat="1" ht="14.25" customHeight="1"/>
    <row r="710" s="319" customFormat="1" ht="14.25" customHeight="1"/>
    <row r="711" s="319" customFormat="1" ht="14.25" customHeight="1"/>
    <row r="712" s="319" customFormat="1" ht="14.25" customHeight="1"/>
    <row r="713" s="319" customFormat="1" ht="14.25" customHeight="1"/>
    <row r="714" s="319" customFormat="1" ht="14.25" customHeight="1"/>
    <row r="715" s="319" customFormat="1" ht="14.25" customHeight="1"/>
    <row r="716" s="319" customFormat="1" ht="14.25" customHeight="1"/>
    <row r="717" s="319" customFormat="1" ht="14.25" customHeight="1"/>
    <row r="718" s="319" customFormat="1" ht="14.25" customHeight="1"/>
    <row r="719" s="319" customFormat="1" ht="14.25" customHeight="1"/>
    <row r="720" s="319" customFormat="1" ht="14.25" customHeight="1"/>
    <row r="721" s="319" customFormat="1" ht="14.25" customHeight="1"/>
    <row r="722" s="319" customFormat="1" ht="14.25" customHeight="1"/>
    <row r="723" s="319" customFormat="1" ht="14.25" customHeight="1"/>
    <row r="724" s="319" customFormat="1" ht="14.25" customHeight="1"/>
    <row r="725" s="319" customFormat="1" ht="14.25" customHeight="1"/>
    <row r="726" s="319" customFormat="1" ht="14.25" customHeight="1"/>
    <row r="727" s="319" customFormat="1" ht="14.25" customHeight="1"/>
    <row r="728" s="319" customFormat="1" ht="14.25" customHeight="1"/>
    <row r="729" s="319" customFormat="1" ht="14.25" customHeight="1"/>
    <row r="730" s="319" customFormat="1" ht="14.25" customHeight="1"/>
    <row r="731" s="319" customFormat="1" ht="14.25" customHeight="1"/>
    <row r="732" s="319" customFormat="1" ht="14.25" customHeight="1"/>
    <row r="733" s="319" customFormat="1" ht="14.25" customHeight="1"/>
    <row r="734" s="319" customFormat="1" ht="14.25" customHeight="1"/>
    <row r="735" s="319" customFormat="1" ht="14.25" customHeight="1"/>
    <row r="736" s="319" customFormat="1" ht="14.25" customHeight="1"/>
    <row r="737" s="319" customFormat="1" ht="14.25" customHeight="1"/>
    <row r="738" s="319" customFormat="1" ht="14.25" customHeight="1"/>
    <row r="739" s="319" customFormat="1" ht="14.25" customHeight="1"/>
    <row r="740" s="319" customFormat="1" ht="14.25" customHeight="1"/>
    <row r="741" s="319" customFormat="1" ht="14.25" customHeight="1"/>
    <row r="742" s="319" customFormat="1" ht="14.25" customHeight="1"/>
    <row r="743" s="319" customFormat="1" ht="14.25" customHeight="1"/>
    <row r="744" s="319" customFormat="1" ht="14.25" customHeight="1"/>
    <row r="745" s="319" customFormat="1" ht="14.25" customHeight="1"/>
    <row r="746" s="319" customFormat="1" ht="14.25" customHeight="1"/>
    <row r="747" s="319" customFormat="1" ht="14.25" customHeight="1"/>
    <row r="748" s="319" customFormat="1" ht="14.25" customHeight="1"/>
    <row r="749" s="319" customFormat="1" ht="14.25" customHeight="1"/>
    <row r="750" s="319" customFormat="1" ht="14.25" customHeight="1"/>
    <row r="751" s="319" customFormat="1" ht="14.25" customHeight="1"/>
    <row r="752" s="319" customFormat="1" ht="14.25" customHeight="1"/>
    <row r="753" s="319" customFormat="1" ht="14.25" customHeight="1"/>
    <row r="754" s="319" customFormat="1" ht="14.25" customHeight="1"/>
    <row r="755" s="319" customFormat="1" ht="14.25" customHeight="1"/>
    <row r="756" s="319" customFormat="1" ht="14.25" customHeight="1"/>
    <row r="757" s="319" customFormat="1" ht="14.25" customHeight="1"/>
    <row r="758" s="319" customFormat="1" ht="14.25" customHeight="1"/>
    <row r="759" s="319" customFormat="1" ht="14.25" customHeight="1"/>
    <row r="760" s="319" customFormat="1" ht="14.25" customHeight="1"/>
    <row r="761" s="319" customFormat="1" ht="14.25" customHeight="1"/>
    <row r="762" s="319" customFormat="1" ht="14.25" customHeight="1"/>
    <row r="763" s="319" customFormat="1" ht="14.25" customHeight="1"/>
    <row r="764" s="319" customFormat="1" ht="14.25" customHeight="1"/>
    <row r="765" s="319" customFormat="1" ht="14.25" customHeight="1"/>
    <row r="766" s="319" customFormat="1" ht="14.25" customHeight="1"/>
    <row r="767" s="319" customFormat="1" ht="14.25" customHeight="1"/>
    <row r="768" s="319" customFormat="1" ht="14.25" customHeight="1"/>
    <row r="769" s="319" customFormat="1" ht="14.25" customHeight="1"/>
    <row r="770" s="319" customFormat="1" ht="14.25" customHeight="1"/>
    <row r="771" s="319" customFormat="1" ht="14.25" customHeight="1"/>
    <row r="772" s="319" customFormat="1" ht="14.25" customHeight="1"/>
    <row r="773" s="319" customFormat="1" ht="14.25" customHeight="1"/>
    <row r="774" s="319" customFormat="1" ht="14.25" customHeight="1"/>
    <row r="775" s="319" customFormat="1" ht="14.25" customHeight="1"/>
    <row r="776" s="319" customFormat="1" ht="14.25" customHeight="1"/>
    <row r="777" s="319" customFormat="1" ht="14.25" customHeight="1"/>
    <row r="778" s="319" customFormat="1" ht="14.25" customHeight="1"/>
    <row r="779" s="319" customFormat="1" ht="14.25" customHeight="1"/>
    <row r="780" s="319" customFormat="1" ht="14.25" customHeight="1"/>
    <row r="781" s="319" customFormat="1" ht="14.25" customHeight="1"/>
    <row r="782" s="319" customFormat="1" ht="14.25" customHeight="1"/>
    <row r="783" s="319" customFormat="1" ht="14.25" customHeight="1"/>
    <row r="784" s="319" customFormat="1" ht="14.25" customHeight="1"/>
    <row r="785" s="319" customFormat="1" ht="14.25" customHeight="1"/>
    <row r="786" s="319" customFormat="1" ht="14.25" customHeight="1"/>
    <row r="787" s="319" customFormat="1" ht="14.25" customHeight="1"/>
    <row r="788" s="319" customFormat="1" ht="14.25" customHeight="1"/>
    <row r="789" s="319" customFormat="1" ht="14.25" customHeight="1"/>
    <row r="790" s="319" customFormat="1" ht="14.25" customHeight="1"/>
    <row r="791" s="319" customFormat="1" ht="14.25" customHeight="1"/>
    <row r="792" s="319" customFormat="1" ht="14.25" customHeight="1"/>
    <row r="793" s="319" customFormat="1" ht="14.25" customHeight="1"/>
    <row r="794" s="319" customFormat="1" ht="14.25" customHeight="1"/>
    <row r="795" s="319" customFormat="1" ht="14.25" customHeight="1"/>
    <row r="796" s="319" customFormat="1" ht="14.25" customHeight="1"/>
    <row r="797" s="319" customFormat="1" ht="14.25" customHeight="1"/>
    <row r="798" s="319" customFormat="1" ht="14.25" customHeight="1"/>
    <row r="799" s="319" customFormat="1" ht="14.25" customHeight="1"/>
    <row r="800" s="319" customFormat="1" ht="14.25" customHeight="1"/>
    <row r="801" s="319" customFormat="1" ht="14.25" customHeight="1"/>
    <row r="802" s="319" customFormat="1" ht="14.25" customHeight="1"/>
    <row r="803" s="319" customFormat="1" ht="14.25" customHeight="1"/>
    <row r="804" s="319" customFormat="1" ht="14.25" customHeight="1"/>
    <row r="805" s="319" customFormat="1" ht="14.25" customHeight="1"/>
    <row r="806" s="319" customFormat="1" ht="14.25" customHeight="1"/>
    <row r="807" s="319" customFormat="1" ht="14.25" customHeight="1"/>
    <row r="808" s="319" customFormat="1" ht="14.25" customHeight="1"/>
    <row r="809" s="319" customFormat="1" ht="14.25" customHeight="1"/>
    <row r="810" s="319" customFormat="1" ht="14.25" customHeight="1"/>
    <row r="811" s="319" customFormat="1" ht="14.25" customHeight="1"/>
    <row r="812" s="319" customFormat="1" ht="14.25" customHeight="1"/>
    <row r="813" s="319" customFormat="1" ht="14.25" customHeight="1"/>
    <row r="814" s="319" customFormat="1" ht="14.25" customHeight="1"/>
    <row r="815" s="319" customFormat="1" ht="14.25" customHeight="1"/>
    <row r="816" s="319" customFormat="1" ht="14.25" customHeight="1"/>
    <row r="817" s="319" customFormat="1" ht="14.25" customHeight="1"/>
    <row r="818" s="319" customFormat="1" ht="14.25" customHeight="1"/>
    <row r="819" s="319" customFormat="1" ht="14.25" customHeight="1"/>
    <row r="820" s="319" customFormat="1" ht="14.25" customHeight="1"/>
    <row r="821" s="319" customFormat="1" ht="14.25" customHeight="1"/>
    <row r="822" s="319" customFormat="1" ht="14.25" customHeight="1"/>
    <row r="823" s="319" customFormat="1" ht="14.25" customHeight="1"/>
    <row r="824" s="319" customFormat="1" ht="14.25" customHeight="1"/>
    <row r="825" s="319" customFormat="1" ht="14.25" customHeight="1"/>
    <row r="826" s="319" customFormat="1" ht="14.25" customHeight="1"/>
    <row r="827" s="319" customFormat="1" ht="14.25" customHeight="1"/>
    <row r="828" s="319" customFormat="1" ht="14.25" customHeight="1"/>
    <row r="829" s="319" customFormat="1" ht="14.25" customHeight="1"/>
    <row r="830" s="319" customFormat="1" ht="14.25" customHeight="1"/>
    <row r="831" s="319" customFormat="1" ht="14.25" customHeight="1"/>
    <row r="832" s="319" customFormat="1" ht="14.25" customHeight="1"/>
    <row r="833" s="319" customFormat="1" ht="14.25" customHeight="1"/>
    <row r="834" s="319" customFormat="1" ht="14.25" customHeight="1"/>
    <row r="835" s="319" customFormat="1" ht="14.25" customHeight="1"/>
    <row r="836" s="319" customFormat="1" ht="14.25" customHeight="1"/>
    <row r="837" s="319" customFormat="1" ht="14.25" customHeight="1"/>
    <row r="838" s="319" customFormat="1" ht="14.25" customHeight="1"/>
    <row r="839" s="319" customFormat="1" ht="14.25" customHeight="1"/>
    <row r="840" s="319" customFormat="1" ht="14.25" customHeight="1"/>
    <row r="841" s="319" customFormat="1" ht="14.25" customHeight="1"/>
    <row r="842" s="319" customFormat="1" ht="14.25" customHeight="1"/>
    <row r="843" s="319" customFormat="1" ht="14.25" customHeight="1"/>
    <row r="844" s="319" customFormat="1" ht="14.25" customHeight="1"/>
    <row r="845" s="319" customFormat="1" ht="14.25" customHeight="1"/>
    <row r="846" s="319" customFormat="1" ht="14.25" customHeight="1"/>
    <row r="847" s="319" customFormat="1" ht="14.25" customHeight="1"/>
    <row r="848" s="319" customFormat="1" ht="14.25" customHeight="1"/>
    <row r="849" s="319" customFormat="1" ht="14.25" customHeight="1"/>
    <row r="850" s="319" customFormat="1" ht="14.25" customHeight="1"/>
    <row r="851" s="319" customFormat="1" ht="14.25" customHeight="1"/>
    <row r="852" s="319" customFormat="1" ht="14.25" customHeight="1"/>
    <row r="853" s="319" customFormat="1" ht="14.25" customHeight="1"/>
    <row r="854" s="319" customFormat="1" ht="14.25" customHeight="1"/>
    <row r="855" s="319" customFormat="1" ht="14.25" customHeight="1"/>
    <row r="856" s="319" customFormat="1" ht="14.25" customHeight="1"/>
    <row r="857" s="319" customFormat="1" ht="14.25" customHeight="1"/>
    <row r="858" s="319" customFormat="1" ht="14.25" customHeight="1"/>
    <row r="859" s="319" customFormat="1" ht="14.25" customHeight="1"/>
    <row r="860" s="319" customFormat="1" ht="14.25" customHeight="1"/>
    <row r="861" s="319" customFormat="1" ht="14.25" customHeight="1"/>
    <row r="862" s="319" customFormat="1" ht="14.25" customHeight="1"/>
    <row r="863" s="319" customFormat="1" ht="14.25" customHeight="1"/>
    <row r="864" s="319" customFormat="1" ht="14.25" customHeight="1"/>
    <row r="865" s="319" customFormat="1" ht="14.25" customHeight="1"/>
    <row r="866" s="319" customFormat="1" ht="14.25" customHeight="1"/>
    <row r="867" s="319" customFormat="1" ht="14.25" customHeight="1"/>
    <row r="868" s="319" customFormat="1" ht="14.25" customHeight="1"/>
    <row r="869" s="319" customFormat="1" ht="14.25" customHeight="1"/>
    <row r="870" s="319" customFormat="1" ht="14.25" customHeight="1"/>
    <row r="871" s="319" customFormat="1" ht="14.25" customHeight="1"/>
    <row r="872" s="319" customFormat="1" ht="14.25" customHeight="1"/>
    <row r="873" s="319" customFormat="1" ht="14.25" customHeight="1"/>
    <row r="874" s="319" customFormat="1" ht="14.25" customHeight="1"/>
    <row r="875" s="319" customFormat="1" ht="14.25" customHeight="1"/>
    <row r="876" s="319" customFormat="1" ht="14.25" customHeight="1"/>
    <row r="877" s="319" customFormat="1" ht="14.25" customHeight="1"/>
    <row r="878" s="319" customFormat="1" ht="14.25" customHeight="1"/>
    <row r="879" s="319" customFormat="1" ht="14.25" customHeight="1"/>
    <row r="880" s="319" customFormat="1" ht="14.25" customHeight="1"/>
    <row r="881" s="319" customFormat="1" ht="14.25" customHeight="1"/>
    <row r="882" s="319" customFormat="1" ht="14.25" customHeight="1"/>
    <row r="883" s="319" customFormat="1" ht="14.25" customHeight="1"/>
    <row r="884" s="319" customFormat="1" ht="14.25" customHeight="1"/>
    <row r="885" s="319" customFormat="1" ht="14.25" customHeight="1"/>
    <row r="886" s="319" customFormat="1" ht="14.25" customHeight="1"/>
    <row r="887" s="319" customFormat="1" ht="14.25" customHeight="1"/>
    <row r="888" s="319" customFormat="1" ht="14.25" customHeight="1"/>
    <row r="889" s="319" customFormat="1" ht="14.25" customHeight="1"/>
    <row r="890" s="319" customFormat="1" ht="14.25" customHeight="1"/>
    <row r="891" s="319" customFormat="1" ht="14.25" customHeight="1"/>
    <row r="892" s="319" customFormat="1" ht="14.25" customHeight="1"/>
    <row r="893" s="319" customFormat="1" ht="14.25" customHeight="1"/>
    <row r="894" s="319" customFormat="1" ht="14.25" customHeight="1"/>
    <row r="895" s="319" customFormat="1" ht="14.25" customHeight="1"/>
    <row r="896" s="319" customFormat="1" ht="14.25" customHeight="1"/>
    <row r="897" s="319" customFormat="1" ht="14.25" customHeight="1"/>
    <row r="898" s="319" customFormat="1" ht="14.25" customHeight="1"/>
    <row r="899" s="319" customFormat="1" ht="14.25" customHeight="1"/>
    <row r="900" s="319" customFormat="1" ht="14.25" customHeight="1"/>
    <row r="901" s="319" customFormat="1" ht="14.25" customHeight="1"/>
    <row r="902" s="319" customFormat="1" ht="14.25" customHeight="1"/>
    <row r="903" s="319" customFormat="1" ht="14.25" customHeight="1"/>
    <row r="904" s="319" customFormat="1" ht="14.25" customHeight="1"/>
    <row r="905" s="319" customFormat="1" ht="14.25" customHeight="1"/>
    <row r="906" s="319" customFormat="1" ht="14.25" customHeight="1"/>
    <row r="907" s="319" customFormat="1" ht="14.25" customHeight="1"/>
    <row r="908" s="319" customFormat="1" ht="14.25" customHeight="1"/>
    <row r="909" s="319" customFormat="1" ht="14.25" customHeight="1"/>
    <row r="910" s="319" customFormat="1" ht="14.25" customHeight="1"/>
    <row r="911" s="319" customFormat="1" ht="14.25" customHeight="1"/>
    <row r="912" s="319" customFormat="1" ht="14.25" customHeight="1"/>
    <row r="913" s="319" customFormat="1" ht="14.25" customHeight="1"/>
    <row r="914" s="319" customFormat="1" ht="14.25" customHeight="1"/>
    <row r="915" s="319" customFormat="1" ht="14.25" customHeight="1"/>
    <row r="916" s="319" customFormat="1" ht="14.25" customHeight="1"/>
    <row r="917" s="319" customFormat="1" ht="14.25" customHeight="1"/>
    <row r="918" s="319" customFormat="1" ht="14.25" customHeight="1"/>
    <row r="919" s="319" customFormat="1" ht="14.25" customHeight="1"/>
    <row r="920" s="319" customFormat="1" ht="14.25" customHeight="1"/>
    <row r="921" s="319" customFormat="1" ht="14.25" customHeight="1"/>
    <row r="922" s="319" customFormat="1" ht="14.25" customHeight="1"/>
    <row r="923" s="319" customFormat="1" ht="14.25" customHeight="1"/>
    <row r="924" s="319" customFormat="1" ht="14.25" customHeight="1"/>
    <row r="925" s="319" customFormat="1" ht="14.25" customHeight="1"/>
    <row r="926" s="319" customFormat="1" ht="14.25" customHeight="1"/>
    <row r="927" s="319" customFormat="1" ht="14.25" customHeight="1"/>
    <row r="928" s="319" customFormat="1" ht="14.25" customHeight="1"/>
    <row r="929" s="319" customFormat="1" ht="14.25" customHeight="1"/>
    <row r="930" s="319" customFormat="1" ht="14.25" customHeight="1"/>
    <row r="931" s="319" customFormat="1" ht="14.25" customHeight="1"/>
    <row r="932" s="319" customFormat="1" ht="14.25" customHeight="1"/>
    <row r="933" s="319" customFormat="1" ht="14.25" customHeight="1"/>
    <row r="934" s="319" customFormat="1" ht="14.25" customHeight="1"/>
    <row r="935" s="319" customFormat="1" ht="14.25" customHeight="1"/>
    <row r="936" s="319" customFormat="1" ht="14.25" customHeight="1"/>
    <row r="937" s="319" customFormat="1" ht="14.25" customHeight="1"/>
    <row r="938" s="319" customFormat="1" ht="14.25" customHeight="1"/>
    <row r="939" s="319" customFormat="1" ht="14.25" customHeight="1"/>
    <row r="940" s="319" customFormat="1" ht="14.25" customHeight="1"/>
    <row r="941" s="319" customFormat="1" ht="14.25" customHeight="1"/>
    <row r="942" s="319" customFormat="1" ht="14.25" customHeight="1"/>
    <row r="943" s="319" customFormat="1" ht="14.25" customHeight="1"/>
    <row r="944" s="319" customFormat="1" ht="14.25" customHeight="1"/>
    <row r="945" s="319" customFormat="1" ht="14.25" customHeight="1"/>
    <row r="946" s="319" customFormat="1" ht="14.25" customHeight="1"/>
    <row r="947" s="319" customFormat="1" ht="14.25" customHeight="1"/>
    <row r="948" s="319" customFormat="1" ht="14.25" customHeight="1"/>
    <row r="949" s="319" customFormat="1" ht="14.25" customHeight="1"/>
    <row r="950" s="319" customFormat="1" ht="14.25" customHeight="1"/>
    <row r="951" s="319" customFormat="1" ht="14.25" customHeight="1"/>
    <row r="952" s="319" customFormat="1" ht="14.25" customHeight="1"/>
    <row r="953" s="319" customFormat="1" ht="14.25" customHeight="1"/>
    <row r="954" s="319" customFormat="1" ht="14.25" customHeight="1"/>
    <row r="955" s="319" customFormat="1" ht="14.25" customHeight="1"/>
    <row r="956" s="319" customFormat="1" ht="14.25" customHeight="1"/>
    <row r="957" s="319" customFormat="1" ht="14.25" customHeight="1"/>
    <row r="958" s="319" customFormat="1" ht="14.25" customHeight="1"/>
    <row r="959" s="319" customFormat="1" ht="14.25" customHeight="1"/>
    <row r="960" s="319" customFormat="1" ht="14.25" customHeight="1"/>
    <row r="961" s="319" customFormat="1" ht="14.25" customHeight="1"/>
    <row r="962" s="319" customFormat="1" ht="14.25" customHeight="1"/>
    <row r="963" s="319" customFormat="1" ht="14.25" customHeight="1"/>
    <row r="964" s="319" customFormat="1" ht="14.25" customHeight="1"/>
    <row r="965" s="319" customFormat="1" ht="14.25" customHeight="1"/>
    <row r="966" s="319" customFormat="1" ht="14.25" customHeight="1"/>
    <row r="967" s="319" customFormat="1" ht="14.25" customHeight="1"/>
    <row r="968" s="319" customFormat="1" ht="14.25" customHeight="1"/>
    <row r="969" s="319" customFormat="1" ht="14.25" customHeight="1"/>
    <row r="970" s="319" customFormat="1" ht="14.25" customHeight="1"/>
    <row r="971" s="319" customFormat="1" ht="14.25" customHeight="1"/>
    <row r="972" s="319" customFormat="1" ht="14.25" customHeight="1"/>
    <row r="973" s="319" customFormat="1" ht="14.25" customHeight="1"/>
    <row r="974" s="319" customFormat="1" ht="14.25" customHeight="1"/>
    <row r="975" s="319" customFormat="1" ht="14.25" customHeight="1"/>
    <row r="976" s="319" customFormat="1" ht="14.25" customHeight="1"/>
    <row r="977" s="319" customFormat="1" ht="14.25" customHeight="1"/>
    <row r="978" s="319" customFormat="1" ht="14.25" customHeight="1"/>
    <row r="979" s="319" customFormat="1" ht="14.25" customHeight="1"/>
    <row r="980" s="319" customFormat="1" ht="14.25" customHeight="1"/>
    <row r="981" s="319" customFormat="1" ht="14.25" customHeight="1"/>
    <row r="982" s="319" customFormat="1" ht="14.25" customHeight="1"/>
    <row r="983" s="319" customFormat="1" ht="14.25" customHeight="1"/>
    <row r="984" s="319" customFormat="1" ht="14.25" customHeight="1"/>
    <row r="985" s="319" customFormat="1" ht="14.25" customHeight="1"/>
    <row r="986" s="319" customFormat="1" ht="14.25" customHeight="1"/>
    <row r="987" s="319" customFormat="1" ht="14.25" customHeight="1"/>
    <row r="988" s="319" customFormat="1" ht="14.25" customHeight="1"/>
    <row r="989" s="319" customFormat="1" ht="14.25" customHeight="1"/>
    <row r="990" s="319" customFormat="1" ht="14.25" customHeight="1"/>
    <row r="991" s="319" customFormat="1" ht="14.25" customHeight="1"/>
    <row r="992" s="319" customFormat="1" ht="14.25" customHeight="1"/>
    <row r="993" s="319" customFormat="1" ht="14.25" customHeight="1"/>
    <row r="994" s="319" customFormat="1" ht="14.25" customHeight="1"/>
    <row r="995" s="319" customFormat="1" ht="14.25" customHeight="1"/>
    <row r="996" s="319" customFormat="1" ht="14.25" customHeight="1"/>
    <row r="997" s="319" customFormat="1" ht="14.25" customHeight="1"/>
    <row r="998" s="319" customFormat="1" ht="14.25" customHeight="1"/>
    <row r="999" s="319" customFormat="1" ht="14.25" customHeight="1"/>
    <row r="1000" s="319" customFormat="1" ht="14.25" customHeight="1"/>
    <row r="1001" s="319" customFormat="1" ht="14.25" customHeight="1"/>
    <row r="1002" s="319" customFormat="1" ht="14.25" customHeight="1"/>
    <row r="1003" s="319" customFormat="1" ht="14.25" customHeight="1"/>
    <row r="1004" s="319" customFormat="1" ht="14.25" customHeight="1"/>
    <row r="1005" s="319" customFormat="1" ht="14.25" customHeight="1"/>
    <row r="1006" s="319" customFormat="1" ht="14.25" customHeight="1"/>
    <row r="1007" s="319" customFormat="1" ht="14.25" customHeight="1"/>
    <row r="1008" s="319" customFormat="1" ht="14.25" customHeight="1"/>
    <row r="1009" s="319" customFormat="1" ht="14.25" customHeight="1"/>
    <row r="1010" s="319" customFormat="1" ht="14.25" customHeight="1"/>
    <row r="1011" s="319" customFormat="1" ht="14.25" customHeight="1"/>
    <row r="1012" s="319" customFormat="1" ht="14.25" customHeight="1"/>
    <row r="1013" s="319" customFormat="1" ht="14.25" customHeight="1"/>
    <row r="1014" s="319" customFormat="1" ht="14.25" customHeight="1"/>
    <row r="1015" s="319" customFormat="1" ht="14.25" customHeight="1"/>
    <row r="1016" s="319" customFormat="1" ht="14.25" customHeight="1"/>
    <row r="1017" s="319" customFormat="1" ht="14.25" customHeight="1"/>
    <row r="1018" s="319" customFormat="1" ht="14.25" customHeight="1"/>
    <row r="1019" s="319" customFormat="1" ht="14.25" customHeight="1"/>
    <row r="1020" s="319" customFormat="1" ht="14.25" customHeight="1"/>
    <row r="1021" s="319" customFormat="1" ht="14.25" customHeight="1"/>
    <row r="1022" s="319" customFormat="1" ht="14.25" customHeight="1"/>
    <row r="1023" s="319" customFormat="1" ht="14.25" customHeight="1"/>
    <row r="1024" s="319" customFormat="1" ht="14.25" customHeight="1"/>
    <row r="1025" s="319" customFormat="1" ht="14.25" customHeight="1"/>
    <row r="1026" s="319" customFormat="1" ht="14.25" customHeight="1"/>
  </sheetData>
  <autoFilter ref="A5:AF5" xr:uid="{00000000-0009-0000-0000-000006000000}"/>
  <mergeCells count="11">
    <mergeCell ref="A26:N26"/>
    <mergeCell ref="A1:T1"/>
    <mergeCell ref="A2:T2"/>
    <mergeCell ref="C3:T3"/>
    <mergeCell ref="A4:B4"/>
    <mergeCell ref="C4:E4"/>
    <mergeCell ref="F4:H4"/>
    <mergeCell ref="I4:K4"/>
    <mergeCell ref="L4:N4"/>
    <mergeCell ref="O4:Q4"/>
    <mergeCell ref="R4:T4"/>
  </mergeCells>
  <phoneticPr fontId="149" type="noConversion"/>
  <dataValidations count="1">
    <dataValidation type="list" sqref="B3" xr:uid="{00000000-0002-0000-0600-000000000000}">
      <formula1>"上半場,下半場"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BF1DE"/>
  </sheetPr>
  <dimension ref="A1:N82"/>
  <sheetViews>
    <sheetView zoomScaleNormal="100" workbookViewId="0">
      <pane xSplit="1" ySplit="3" topLeftCell="B37" activePane="bottomRight" state="frozen"/>
      <selection pane="topRight" activeCell="B1" sqref="B1"/>
      <selection pane="bottomLeft" activeCell="A52" sqref="A52"/>
      <selection pane="bottomRight" activeCell="G31" sqref="G31"/>
    </sheetView>
  </sheetViews>
  <sheetFormatPr defaultColWidth="13" defaultRowHeight="15"/>
  <cols>
    <col min="1" max="1" width="10" style="330" customWidth="1"/>
    <col min="2" max="2" width="11" style="330" customWidth="1"/>
    <col min="3" max="3" width="11" style="319" customWidth="1"/>
    <col min="4" max="7" width="12" style="319" customWidth="1"/>
    <col min="8" max="8" width="14.7109375" style="319" customWidth="1"/>
    <col min="9" max="10" width="12" style="319" customWidth="1"/>
    <col min="11" max="11" width="12" style="331" customWidth="1"/>
    <col min="12" max="12" width="12" style="332" customWidth="1"/>
    <col min="13" max="13" width="12" style="319" customWidth="1"/>
    <col min="14" max="14" width="12" style="332" customWidth="1"/>
    <col min="15" max="16384" width="13" style="332"/>
  </cols>
  <sheetData>
    <row r="1" spans="1:14" s="330" customFormat="1" ht="36" customHeight="1">
      <c r="A1" s="566" t="s">
        <v>435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333"/>
      <c r="M1" s="319"/>
    </row>
    <row r="2" spans="1:14" ht="6" customHeight="1"/>
    <row r="3" spans="1:14" ht="31.5" customHeight="1">
      <c r="A3" s="567" t="s">
        <v>245</v>
      </c>
      <c r="B3" s="567"/>
      <c r="C3" s="567"/>
      <c r="D3" s="567"/>
      <c r="E3" s="567"/>
      <c r="F3" s="567"/>
      <c r="G3" s="567"/>
      <c r="H3" s="567"/>
      <c r="I3" s="334"/>
      <c r="J3" s="335"/>
      <c r="K3" s="334"/>
      <c r="L3" s="334"/>
      <c r="M3" s="334"/>
    </row>
    <row r="4" spans="1:14" ht="35.25" customHeight="1">
      <c r="A4" s="336" t="s">
        <v>246</v>
      </c>
      <c r="B4" s="337" t="s">
        <v>247</v>
      </c>
      <c r="C4" s="337" t="s">
        <v>124</v>
      </c>
      <c r="D4" s="337" t="s">
        <v>248</v>
      </c>
      <c r="E4" s="337" t="s">
        <v>249</v>
      </c>
      <c r="F4" s="336" t="s">
        <v>250</v>
      </c>
      <c r="G4" s="336" t="s">
        <v>251</v>
      </c>
      <c r="H4" s="337" t="s">
        <v>252</v>
      </c>
      <c r="I4" s="338"/>
      <c r="J4" s="338"/>
      <c r="K4" s="338"/>
      <c r="L4" s="338"/>
      <c r="M4" s="332"/>
    </row>
    <row r="5" spans="1:14" ht="37.5" customHeight="1">
      <c r="A5" s="339" t="s">
        <v>253</v>
      </c>
      <c r="B5" s="340" t="s">
        <v>254</v>
      </c>
      <c r="C5" s="340" t="s">
        <v>255</v>
      </c>
      <c r="D5" s="340" t="s">
        <v>256</v>
      </c>
      <c r="E5" s="340" t="s">
        <v>256</v>
      </c>
      <c r="F5" s="340" t="s">
        <v>256</v>
      </c>
      <c r="G5" s="340" t="s">
        <v>257</v>
      </c>
      <c r="H5" s="340" t="s">
        <v>258</v>
      </c>
      <c r="I5" s="335"/>
      <c r="J5" s="335"/>
      <c r="K5" s="335"/>
      <c r="L5" s="335"/>
      <c r="M5" s="332"/>
    </row>
    <row r="6" spans="1:14" ht="20.25" customHeight="1">
      <c r="A6" s="341"/>
      <c r="B6" s="341"/>
      <c r="C6" s="341"/>
      <c r="D6" s="341"/>
      <c r="E6" s="341"/>
      <c r="F6" s="341"/>
      <c r="G6" s="341"/>
      <c r="H6" s="342" t="s">
        <v>259</v>
      </c>
      <c r="I6" s="335"/>
      <c r="J6" s="335"/>
      <c r="K6" s="343"/>
      <c r="L6" s="341"/>
      <c r="M6" s="341"/>
    </row>
    <row r="7" spans="1:14" ht="6" customHeight="1">
      <c r="A7" s="344"/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1"/>
      <c r="N7" s="345"/>
    </row>
    <row r="8" spans="1:14" ht="27.75" customHeight="1">
      <c r="A8" s="568" t="s">
        <v>260</v>
      </c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346"/>
      <c r="M8" s="341"/>
      <c r="N8" s="345"/>
    </row>
    <row r="9" spans="1:14" ht="31.5" customHeight="1">
      <c r="A9" s="347" t="s">
        <v>7</v>
      </c>
      <c r="B9" s="348" t="s">
        <v>261</v>
      </c>
      <c r="C9" s="348" t="s">
        <v>262</v>
      </c>
      <c r="D9" s="348" t="s">
        <v>263</v>
      </c>
      <c r="E9" s="348" t="s">
        <v>264</v>
      </c>
      <c r="F9" s="348" t="s">
        <v>265</v>
      </c>
      <c r="G9" s="348" t="s">
        <v>266</v>
      </c>
      <c r="H9" s="347" t="s">
        <v>250</v>
      </c>
      <c r="I9" s="347" t="s">
        <v>251</v>
      </c>
      <c r="J9" s="349" t="s">
        <v>252</v>
      </c>
      <c r="K9" s="350" t="s">
        <v>267</v>
      </c>
      <c r="L9" s="345"/>
      <c r="M9" s="332"/>
    </row>
    <row r="10" spans="1:14" ht="21.75" customHeight="1">
      <c r="A10" s="351" t="s">
        <v>96</v>
      </c>
      <c r="B10" s="352">
        <f>SUMIF(■我的AQ獎金!$B$3:$B$22,$A10,■我的AQ獎金!$H$3:$H$22)</f>
        <v>1.236842105263158</v>
      </c>
      <c r="C10" s="352">
        <f>SUMIF(■我的RT獎金!$B$3:$B$22,$A10,■我的RT獎金!$H$3:$H$22)</f>
        <v>0.76</v>
      </c>
      <c r="D10" s="353">
        <f>SUMIF(數據!$A:$A,$A10,數據!$C:$C)*100</f>
        <v>2350</v>
      </c>
      <c r="E10" s="353">
        <f>SUMIF(數據!$A:$A,$A10,數據!$G:$G)*300</f>
        <v>900</v>
      </c>
      <c r="F10" s="353">
        <f>SUMIF(數據!$A:$A,$A10,數據!$L:$L)*100</f>
        <v>500</v>
      </c>
      <c r="G10" s="353">
        <f>SUMIF(數據!$A:$A,$A10,數據!$R:$R)*100</f>
        <v>400</v>
      </c>
      <c r="H10" s="353">
        <f>SUMIF(數據!$A:$A,$A10,數據!$N:$N)*100</f>
        <v>900</v>
      </c>
      <c r="I10" s="353">
        <f>SUMIF(數據!$A:$A,$A10,數據!$Z:$Z)*500</f>
        <v>0</v>
      </c>
      <c r="J10" s="354">
        <f>SUMIF(數據!$A:$A,$A10,數據!$AH:$AH)*500</f>
        <v>0</v>
      </c>
      <c r="K10" s="355">
        <f t="shared" ref="K10:K29" si="0">SUM(D10:J10)</f>
        <v>5050</v>
      </c>
      <c r="L10" s="345"/>
      <c r="M10" s="332"/>
    </row>
    <row r="11" spans="1:14" ht="21.75" customHeight="1">
      <c r="A11" s="351" t="s">
        <v>108</v>
      </c>
      <c r="B11" s="352">
        <f>SUMIF(■我的AQ獎金!$B$3:$B$22,$A11,■我的AQ獎金!$H$3:$H$22)</f>
        <v>1.236842105263158</v>
      </c>
      <c r="C11" s="352">
        <f>SUMIF(■我的RT獎金!$B$3:$B$22,$A11,■我的RT獎金!$H$3:$H$22)</f>
        <v>1.1304347826086956</v>
      </c>
      <c r="D11" s="353">
        <f>SUMIF(數據!$A:$A,$A11,數據!$C:$C)*100</f>
        <v>2350</v>
      </c>
      <c r="E11" s="353">
        <f>SUMIF(數據!$A:$A,$A11,數據!$G:$G)*300</f>
        <v>600</v>
      </c>
      <c r="F11" s="353">
        <f>SUMIF(數據!$A:$A,$A11,數據!$L:$L)*100</f>
        <v>1000</v>
      </c>
      <c r="G11" s="353">
        <f>SUMIF(數據!$A:$A,$A11,數據!$R:$R)*100</f>
        <v>1000</v>
      </c>
      <c r="H11" s="353">
        <f>SUMIF(數據!$A:$A,$A11,數據!$N:$N)*100</f>
        <v>700</v>
      </c>
      <c r="I11" s="353">
        <f>SUMIF(數據!$A:$A,$A11,數據!$Z:$Z)*500</f>
        <v>0</v>
      </c>
      <c r="J11" s="354">
        <f>SUMIF(數據!$A:$A,$A11,數據!$AH:$AH)*500</f>
        <v>0</v>
      </c>
      <c r="K11" s="355">
        <f t="shared" si="0"/>
        <v>5650</v>
      </c>
      <c r="L11" s="345"/>
      <c r="M11" s="332"/>
    </row>
    <row r="12" spans="1:14" ht="21.75" customHeight="1">
      <c r="A12" s="351" t="s">
        <v>101</v>
      </c>
      <c r="B12" s="352">
        <f>SUMIF(■我的AQ獎金!$B$3:$B$22,$A12,■我的AQ獎金!$H$3:$H$22)</f>
        <v>0.78947368421052633</v>
      </c>
      <c r="C12" s="352">
        <f>SUMIF(■我的RT獎金!$B$3:$B$22,$A12,■我的RT獎金!$H$3:$H$22)</f>
        <v>0.63636363636363635</v>
      </c>
      <c r="D12" s="353">
        <f>SUMIF(數據!$A:$A,$A12,數據!$C:$C)*100</f>
        <v>1500</v>
      </c>
      <c r="E12" s="353">
        <f>SUMIF(數據!$A:$A,$A12,數據!$G:$G)*300</f>
        <v>600</v>
      </c>
      <c r="F12" s="353">
        <f>SUMIF(數據!$A:$A,$A12,數據!$L:$L)*100</f>
        <v>900</v>
      </c>
      <c r="G12" s="353">
        <f>SUMIF(數據!$A:$A,$A12,數據!$R:$R)*100</f>
        <v>400</v>
      </c>
      <c r="H12" s="353">
        <f>SUMIF(數據!$A:$A,$A12,數據!$N:$N)*100</f>
        <v>700</v>
      </c>
      <c r="I12" s="353">
        <f>SUMIF(數據!$A:$A,$A12,數據!$Z:$Z)*500</f>
        <v>1000</v>
      </c>
      <c r="J12" s="354">
        <f>SUMIF(數據!$A:$A,$A12,數據!$AH:$AH)*500</f>
        <v>0</v>
      </c>
      <c r="K12" s="355">
        <f t="shared" si="0"/>
        <v>5100</v>
      </c>
      <c r="L12" s="345"/>
      <c r="M12" s="332"/>
    </row>
    <row r="13" spans="1:14" ht="21.75" customHeight="1">
      <c r="A13" s="351" t="s">
        <v>106</v>
      </c>
      <c r="B13" s="352">
        <f>SUMIF(■我的AQ獎金!$B$3:$B$22,$A13,■我的AQ獎金!$H$3:$H$22)</f>
        <v>1.2105263157894737</v>
      </c>
      <c r="C13" s="352">
        <f>SUMIF(■我的RT獎金!$B$3:$B$22,$A13,■我的RT獎金!$H$3:$H$22)</f>
        <v>0.78947368421052633</v>
      </c>
      <c r="D13" s="353">
        <f>SUMIF(數據!$A:$A,$A13,數據!$C:$C)*100</f>
        <v>2300</v>
      </c>
      <c r="E13" s="353">
        <f>SUMIF(數據!$A:$A,$A13,數據!$G:$G)*300</f>
        <v>900</v>
      </c>
      <c r="F13" s="353">
        <f>SUMIF(數據!$A:$A,$A13,數據!$L:$L)*100</f>
        <v>500</v>
      </c>
      <c r="G13" s="353">
        <f>SUMIF(數據!$A:$A,$A13,數據!$R:$R)*100</f>
        <v>300</v>
      </c>
      <c r="H13" s="353">
        <f>SUMIF(數據!$A:$A,$A13,數據!$N:$N)*100</f>
        <v>800</v>
      </c>
      <c r="I13" s="353">
        <f>SUMIF(數據!$A:$A,$A13,數據!$Z:$Z)*500</f>
        <v>0</v>
      </c>
      <c r="J13" s="354">
        <f>SUMIF(數據!$A:$A,$A13,數據!$AH:$AH)*500</f>
        <v>500</v>
      </c>
      <c r="K13" s="355">
        <f t="shared" si="0"/>
        <v>5300</v>
      </c>
      <c r="L13" s="345"/>
      <c r="M13" s="332"/>
    </row>
    <row r="14" spans="1:14" ht="21.75" customHeight="1">
      <c r="A14" s="351" t="s">
        <v>97</v>
      </c>
      <c r="B14" s="352">
        <f>SUMIF(■我的AQ獎金!$B$3:$B$22,$A14,■我的AQ獎金!$H$3:$H$22)</f>
        <v>0.71052631578947367</v>
      </c>
      <c r="C14" s="352">
        <f>SUMIF(■我的RT獎金!$B$3:$B$22,$A14,■我的RT獎金!$H$3:$H$22)</f>
        <v>0.5</v>
      </c>
      <c r="D14" s="353">
        <f>SUMIF(數據!$A:$A,$A14,數據!$C:$C)*100</f>
        <v>1350</v>
      </c>
      <c r="E14" s="353">
        <f>SUMIF(數據!$A:$A,$A14,數據!$G:$G)*300</f>
        <v>300</v>
      </c>
      <c r="F14" s="353">
        <f>SUMIF(數據!$A:$A,$A14,數據!$L:$L)*100</f>
        <v>400</v>
      </c>
      <c r="G14" s="353">
        <f>SUMIF(數據!$A:$A,$A14,數據!$R:$R)*100</f>
        <v>600</v>
      </c>
      <c r="H14" s="353">
        <f>SUMIF(數據!$A:$A,$A14,數據!$N:$N)*100</f>
        <v>200</v>
      </c>
      <c r="I14" s="353">
        <f>SUMIF(數據!$A:$A,$A14,數據!$Z:$Z)*500</f>
        <v>0</v>
      </c>
      <c r="J14" s="354">
        <f>SUMIF(數據!$A:$A,$A14,數據!$AH:$AH)*500</f>
        <v>0</v>
      </c>
      <c r="K14" s="355">
        <f t="shared" si="0"/>
        <v>2850</v>
      </c>
      <c r="L14" s="345"/>
      <c r="M14" s="332"/>
    </row>
    <row r="15" spans="1:14" ht="21.75" customHeight="1">
      <c r="A15" s="351" t="s">
        <v>98</v>
      </c>
      <c r="B15" s="352">
        <f>SUMIF(■我的AQ獎金!$B$3:$B$22,$A15,■我的AQ獎金!$H$3:$H$22)</f>
        <v>1.868421052631579</v>
      </c>
      <c r="C15" s="352">
        <f>SUMIF(■我的RT獎金!$B$3:$B$22,$A15,■我的RT獎金!$H$3:$H$22)</f>
        <v>0.875</v>
      </c>
      <c r="D15" s="353">
        <f>SUMIF(數據!$A:$A,$A15,數據!$C:$C)*100</f>
        <v>3550</v>
      </c>
      <c r="E15" s="353">
        <f>SUMIF(數據!$A:$A,$A15,數據!$G:$G)*300</f>
        <v>1200</v>
      </c>
      <c r="F15" s="353">
        <f>SUMIF(數據!$A:$A,$A15,數據!$L:$L)*100</f>
        <v>1300</v>
      </c>
      <c r="G15" s="353">
        <f>SUMIF(數據!$A:$A,$A15,數據!$R:$R)*100</f>
        <v>600</v>
      </c>
      <c r="H15" s="353">
        <f>SUMIF(數據!$A:$A,$A15,數據!$N:$N)*100</f>
        <v>400</v>
      </c>
      <c r="I15" s="353">
        <f>SUMIF(數據!$A:$A,$A15,數據!$Z:$Z)*500</f>
        <v>500</v>
      </c>
      <c r="J15" s="354">
        <f>SUMIF(數據!$A:$A,$A15,數據!$AH:$AH)*500</f>
        <v>0</v>
      </c>
      <c r="K15" s="355">
        <f t="shared" si="0"/>
        <v>7550</v>
      </c>
      <c r="L15" s="345"/>
      <c r="M15" s="332"/>
    </row>
    <row r="16" spans="1:14" ht="21.75" customHeight="1">
      <c r="A16" s="351" t="s">
        <v>110</v>
      </c>
      <c r="B16" s="352">
        <f>SUMIF(■我的AQ獎金!$B$3:$B$22,$A16,■我的AQ獎金!$H$3:$H$22)</f>
        <v>0.63157894736842102</v>
      </c>
      <c r="C16" s="352">
        <f>SUMIF(■我的RT獎金!$B$3:$B$22,$A16,■我的RT獎金!$H$3:$H$22)</f>
        <v>0.6</v>
      </c>
      <c r="D16" s="353">
        <f>SUMIF(數據!$A:$A,$A16,數據!$C:$C)*100</f>
        <v>1200</v>
      </c>
      <c r="E16" s="353">
        <f>SUMIF(數據!$A:$A,$A16,數據!$G:$G)*300</f>
        <v>300</v>
      </c>
      <c r="F16" s="353">
        <f>SUMIF(數據!$A:$A,$A16,數據!$L:$L)*100</f>
        <v>700</v>
      </c>
      <c r="G16" s="353">
        <f>SUMIF(數據!$A:$A,$A16,數據!$R:$R)*100</f>
        <v>300</v>
      </c>
      <c r="H16" s="353">
        <f>SUMIF(數據!$A:$A,$A16,數據!$N:$N)*100</f>
        <v>400</v>
      </c>
      <c r="I16" s="353">
        <f>SUMIF(數據!$A:$A,$A16,數據!$Z:$Z)*500</f>
        <v>750</v>
      </c>
      <c r="J16" s="354">
        <f>SUMIF(數據!$A:$A,$A16,數據!$AH:$AH)*500</f>
        <v>0</v>
      </c>
      <c r="K16" s="355">
        <f t="shared" si="0"/>
        <v>3650</v>
      </c>
      <c r="L16" s="345"/>
      <c r="M16" s="332"/>
    </row>
    <row r="17" spans="1:14" ht="21.75" customHeight="1">
      <c r="A17" s="351" t="s">
        <v>99</v>
      </c>
      <c r="B17" s="352">
        <f>SUMIF(■我的AQ獎金!$B$3:$B$22,$A17,■我的AQ獎金!$H$3:$H$22)</f>
        <v>0.81578947368421051</v>
      </c>
      <c r="C17" s="352">
        <f>SUMIF(■我的RT獎金!$B$3:$B$22,$A17,■我的RT獎金!$H$3:$H$22)</f>
        <v>1.0476190476190477</v>
      </c>
      <c r="D17" s="353">
        <f>SUMIF(數據!$A:$A,$A17,數據!$C:$C)*100</f>
        <v>1550</v>
      </c>
      <c r="E17" s="353">
        <f>SUMIF(數據!$A:$A,$A17,數據!$G:$G)*300</f>
        <v>300</v>
      </c>
      <c r="F17" s="353">
        <f>SUMIF(數據!$A:$A,$A17,數據!$L:$L)*100</f>
        <v>1100</v>
      </c>
      <c r="G17" s="353">
        <f>SUMIF(數據!$A:$A,$A17,數據!$R:$R)*100</f>
        <v>700</v>
      </c>
      <c r="H17" s="353">
        <f>SUMIF(數據!$A:$A,$A17,數據!$N:$N)*100</f>
        <v>1000</v>
      </c>
      <c r="I17" s="353">
        <f>SUMIF(數據!$A:$A,$A17,數據!$Z:$Z)*500</f>
        <v>1375</v>
      </c>
      <c r="J17" s="354">
        <f>SUMIF(數據!$A:$A,$A17,數據!$AH:$AH)*500</f>
        <v>0</v>
      </c>
      <c r="K17" s="355">
        <f t="shared" si="0"/>
        <v>6025</v>
      </c>
      <c r="L17" s="345"/>
      <c r="M17" s="332"/>
    </row>
    <row r="18" spans="1:14" ht="21.75" customHeight="1">
      <c r="A18" s="351" t="s">
        <v>88</v>
      </c>
      <c r="B18" s="352">
        <f>SUMIF(■我的AQ獎金!$B$3:$B$22,$A18,■我的AQ獎金!$H$3:$H$22)</f>
        <v>0.63157894736842102</v>
      </c>
      <c r="C18" s="352">
        <f>SUMIF(■我的RT獎金!$B$3:$B$22,$A18,■我的RT獎金!$H$3:$H$22)</f>
        <v>1</v>
      </c>
      <c r="D18" s="353">
        <f>SUMIF(數據!$A:$A,$A18,數據!$C:$C)*100</f>
        <v>1200</v>
      </c>
      <c r="E18" s="353">
        <f>SUMIF(數據!$A:$A,$A18,數據!$G:$G)*300</f>
        <v>0</v>
      </c>
      <c r="F18" s="353">
        <f>SUMIF(數據!$A:$A,$A18,數據!$L:$L)*100</f>
        <v>1000</v>
      </c>
      <c r="G18" s="353">
        <f>SUMIF(數據!$A:$A,$A18,數據!$R:$R)*100</f>
        <v>600</v>
      </c>
      <c r="H18" s="353">
        <f>SUMIF(數據!$A:$A,$A18,數據!$N:$N)*100</f>
        <v>1000</v>
      </c>
      <c r="I18" s="353">
        <f>SUMIF(數據!$A:$A,$A18,數據!$Z:$Z)*500</f>
        <v>0</v>
      </c>
      <c r="J18" s="354">
        <f>SUMIF(數據!$A:$A,$A18,數據!$AH:$AH)*500</f>
        <v>0</v>
      </c>
      <c r="K18" s="355">
        <f t="shared" si="0"/>
        <v>3800</v>
      </c>
      <c r="L18" s="345"/>
      <c r="M18" s="332"/>
    </row>
    <row r="19" spans="1:14" ht="21.75" customHeight="1">
      <c r="A19" s="351" t="s">
        <v>107</v>
      </c>
      <c r="B19" s="352">
        <f>SUMIF(■我的AQ獎金!$B$3:$B$22,$A19,■我的AQ獎金!$H$3:$H$22)</f>
        <v>0.78947368421052633</v>
      </c>
      <c r="C19" s="352">
        <f>SUMIF(■我的RT獎金!$B$3:$B$22,$A19,■我的RT獎金!$H$3:$H$22)</f>
        <v>0.68421052631578949</v>
      </c>
      <c r="D19" s="353">
        <f>SUMIF(數據!$A:$A,$A19,數據!$C:$C)*100</f>
        <v>1500</v>
      </c>
      <c r="E19" s="353">
        <f>SUMIF(數據!$A:$A,$A19,數據!$G:$G)*300</f>
        <v>300</v>
      </c>
      <c r="F19" s="353">
        <f>SUMIF(數據!$A:$A,$A19,數據!$L:$L)*100</f>
        <v>500</v>
      </c>
      <c r="G19" s="353">
        <f>SUMIF(數據!$A:$A,$A19,數據!$R:$R)*100</f>
        <v>300</v>
      </c>
      <c r="H19" s="353">
        <f>SUMIF(數據!$A:$A,$A19,數據!$N:$N)*100</f>
        <v>500</v>
      </c>
      <c r="I19" s="353">
        <f>SUMIF(數據!$A:$A,$A19,數據!$Z:$Z)*500</f>
        <v>0</v>
      </c>
      <c r="J19" s="354">
        <f>SUMIF(數據!$A:$A,$A19,數據!$AH:$AH)*500</f>
        <v>0</v>
      </c>
      <c r="K19" s="355">
        <f t="shared" si="0"/>
        <v>3100</v>
      </c>
      <c r="L19" s="345"/>
      <c r="M19" s="332"/>
    </row>
    <row r="20" spans="1:14" ht="21.75" customHeight="1">
      <c r="A20" s="351" t="s">
        <v>93</v>
      </c>
      <c r="B20" s="352">
        <f>SUMIF(■我的AQ獎金!$B$3:$B$22,$A20,■我的AQ獎金!$H$3:$H$22)</f>
        <v>1.868421052631579</v>
      </c>
      <c r="C20" s="352">
        <f>SUMIF(■我的RT獎金!$B$3:$B$22,$A20,■我的RT獎金!$H$3:$H$22)</f>
        <v>1.0689655172413792</v>
      </c>
      <c r="D20" s="353">
        <f>SUMIF(數據!$A:$A,$A20,數據!$C:$C)*100</f>
        <v>3550</v>
      </c>
      <c r="E20" s="353">
        <f>SUMIF(數據!$A:$A,$A20,數據!$G:$G)*300</f>
        <v>900</v>
      </c>
      <c r="F20" s="353">
        <f>SUMIF(數據!$A:$A,$A20,數據!$L:$L)*100</f>
        <v>2000</v>
      </c>
      <c r="G20" s="353">
        <f>SUMIF(數據!$A:$A,$A20,數據!$R:$R)*100</f>
        <v>1400</v>
      </c>
      <c r="H20" s="353">
        <f>SUMIF(數據!$A:$A,$A20,數據!$N:$N)*100</f>
        <v>800</v>
      </c>
      <c r="I20" s="353">
        <f>SUMIF(數據!$A:$A,$A20,數據!$Z:$Z)*500</f>
        <v>625</v>
      </c>
      <c r="J20" s="354">
        <f>SUMIF(數據!$A:$A,$A20,數據!$AH:$AH)*500</f>
        <v>0</v>
      </c>
      <c r="K20" s="355">
        <f t="shared" si="0"/>
        <v>9275</v>
      </c>
      <c r="L20" s="345"/>
      <c r="M20" s="332"/>
    </row>
    <row r="21" spans="1:14" ht="21.75" customHeight="1">
      <c r="A21" s="351" t="s">
        <v>105</v>
      </c>
      <c r="B21" s="352">
        <f>SUMIF(■我的AQ獎金!$B$3:$B$22,$A21,■我的AQ獎金!$H$3:$H$22)</f>
        <v>0.60526315789473684</v>
      </c>
      <c r="C21" s="352">
        <f>SUMIF(■我的RT獎金!$B$3:$B$22,$A21,■我的RT獎金!$H$3:$H$22)</f>
        <v>0.87096774193548387</v>
      </c>
      <c r="D21" s="353">
        <f>SUMIF(數據!$A:$A,$A21,數據!$C:$C)*100</f>
        <v>1150</v>
      </c>
      <c r="E21" s="353">
        <f>SUMIF(數據!$A:$A,$A21,數據!$G:$G)*300</f>
        <v>300</v>
      </c>
      <c r="F21" s="353">
        <f>SUMIF(數據!$A:$A,$A21,數據!$L:$L)*100</f>
        <v>1300</v>
      </c>
      <c r="G21" s="353">
        <f>SUMIF(數據!$A:$A,$A21,數據!$R:$R)*100</f>
        <v>700</v>
      </c>
      <c r="H21" s="353">
        <f>SUMIF(數據!$A:$A,$A21,數據!$N:$N)*100</f>
        <v>600</v>
      </c>
      <c r="I21" s="353">
        <f>SUMIF(數據!$A:$A,$A21,數據!$Z:$Z)*500</f>
        <v>1250</v>
      </c>
      <c r="J21" s="354">
        <f>SUMIF(數據!$A:$A,$A21,數據!$AH:$AH)*500</f>
        <v>0</v>
      </c>
      <c r="K21" s="355">
        <f t="shared" si="0"/>
        <v>5300</v>
      </c>
      <c r="L21" s="345"/>
      <c r="M21" s="332"/>
    </row>
    <row r="22" spans="1:14" ht="21.75" customHeight="1">
      <c r="A22" s="351" t="s">
        <v>102</v>
      </c>
      <c r="B22" s="352">
        <f>SUMIF(■我的AQ獎金!$B$3:$B$22,$A22,■我的AQ獎金!$H$3:$H$22)</f>
        <v>0.76315789473684215</v>
      </c>
      <c r="C22" s="352">
        <f>SUMIF(■我的RT獎金!$B$3:$B$22,$A22,■我的RT獎金!$H$3:$H$22)</f>
        <v>0.7407407407407407</v>
      </c>
      <c r="D22" s="353">
        <f>SUMIF(數據!$A:$A,$A22,數據!$C:$C)*100</f>
        <v>1450</v>
      </c>
      <c r="E22" s="353">
        <f>SUMIF(數據!$A:$A,$A22,數據!$G:$G)*300</f>
        <v>300</v>
      </c>
      <c r="F22" s="353">
        <f>SUMIF(數據!$A:$A,$A22,數據!$L:$L)*100</f>
        <v>700</v>
      </c>
      <c r="G22" s="353">
        <f>SUMIF(數據!$A:$A,$A22,數據!$R:$R)*100</f>
        <v>600</v>
      </c>
      <c r="H22" s="353">
        <f>SUMIF(數據!$A:$A,$A22,數據!$N:$N)*100</f>
        <v>500</v>
      </c>
      <c r="I22" s="353">
        <f>SUMIF(數據!$A:$A,$A22,數據!$Z:$Z)*500</f>
        <v>0</v>
      </c>
      <c r="J22" s="354">
        <f>SUMIF(數據!$A:$A,$A22,數據!$AH:$AH)*500</f>
        <v>0</v>
      </c>
      <c r="K22" s="355">
        <f t="shared" si="0"/>
        <v>3550</v>
      </c>
      <c r="L22" s="345"/>
      <c r="M22" s="332"/>
    </row>
    <row r="23" spans="1:14" ht="21.75" customHeight="1">
      <c r="A23" s="351" t="s">
        <v>111</v>
      </c>
      <c r="B23" s="352">
        <f>SUMIF(■我的AQ獎金!$B$3:$B$22,$A23,■我的AQ獎金!$H$3:$H$22)</f>
        <v>0.63157894736842102</v>
      </c>
      <c r="C23" s="352">
        <f>SUMIF(■我的RT獎金!$B$3:$B$22,$A23,■我的RT獎金!$H$3:$H$22)</f>
        <v>1</v>
      </c>
      <c r="D23" s="353">
        <f>SUMIF(數據!$A:$A,$A23,數據!$C:$C)*100</f>
        <v>1200</v>
      </c>
      <c r="E23" s="353">
        <f>SUMIF(數據!$A:$A,$A23,數據!$G:$G)*300</f>
        <v>300</v>
      </c>
      <c r="F23" s="353">
        <f>SUMIF(數據!$A:$A,$A23,數據!$L:$L)*100</f>
        <v>800</v>
      </c>
      <c r="G23" s="353">
        <f>SUMIF(數據!$A:$A,$A23,數據!$R:$R)*100</f>
        <v>700</v>
      </c>
      <c r="H23" s="353">
        <f>SUMIF(數據!$A:$A,$A23,數據!$N:$N)*100</f>
        <v>700</v>
      </c>
      <c r="I23" s="353">
        <f>SUMIF(數據!$A:$A,$A23,數據!$Z:$Z)*500</f>
        <v>0</v>
      </c>
      <c r="J23" s="354">
        <f>SUMIF(數據!$A:$A,$A23,數據!$AH:$AH)*500</f>
        <v>0</v>
      </c>
      <c r="K23" s="355">
        <f t="shared" si="0"/>
        <v>3700</v>
      </c>
      <c r="L23" s="345"/>
      <c r="M23" s="332"/>
    </row>
    <row r="24" spans="1:14" ht="21.75" customHeight="1">
      <c r="A24" s="351" t="s">
        <v>90</v>
      </c>
      <c r="B24" s="352">
        <f>SUMIF(■我的AQ獎金!$B$3:$B$22,$A24,■我的AQ獎金!$H$3:$H$22)</f>
        <v>1.1578947368421053</v>
      </c>
      <c r="C24" s="352">
        <f>SUMIF(■我的RT獎金!$B$3:$B$22,$A24,■我的RT獎金!$H$3:$H$22)</f>
        <v>1.1111111111111112</v>
      </c>
      <c r="D24" s="353">
        <f>SUMIF(數據!$A:$A,$A24,數據!$C:$C)*100</f>
        <v>2200</v>
      </c>
      <c r="E24" s="353">
        <f>SUMIF(數據!$A:$A,$A24,數據!$G:$G)*300</f>
        <v>600</v>
      </c>
      <c r="F24" s="353">
        <f>SUMIF(數據!$A:$A,$A24,數據!$L:$L)*100</f>
        <v>1500</v>
      </c>
      <c r="G24" s="353">
        <f>SUMIF(數據!$A:$A,$A24,數據!$R:$R)*100</f>
        <v>800</v>
      </c>
      <c r="H24" s="353">
        <f>SUMIF(數據!$A:$A,$A24,數據!$N:$N)*100</f>
        <v>800</v>
      </c>
      <c r="I24" s="353">
        <f>SUMIF(數據!$A:$A,$A24,數據!$Z:$Z)*500</f>
        <v>2750</v>
      </c>
      <c r="J24" s="354">
        <f>SUMIF(數據!$A:$A,$A24,數據!$AH:$AH)*500</f>
        <v>0</v>
      </c>
      <c r="K24" s="355">
        <f t="shared" si="0"/>
        <v>8650</v>
      </c>
      <c r="L24" s="345"/>
      <c r="M24" s="332"/>
    </row>
    <row r="25" spans="1:14" ht="21.75" customHeight="1">
      <c r="A25" s="351" t="s">
        <v>109</v>
      </c>
      <c r="B25" s="352">
        <f>SUMIF(■我的AQ獎金!$B$3:$B$22,$A25,■我的AQ獎金!$H$3:$H$22)</f>
        <v>1</v>
      </c>
      <c r="C25" s="352">
        <f>SUMIF(■我的RT獎金!$B$3:$B$22,$A25,■我的RT獎金!$H$3:$H$22)</f>
        <v>0.83333333333333337</v>
      </c>
      <c r="D25" s="353">
        <f>SUMIF(數據!$A:$A,$A25,數據!$C:$C)*100</f>
        <v>1900</v>
      </c>
      <c r="E25" s="353">
        <f>SUMIF(數據!$A:$A,$A25,數據!$G:$G)*300</f>
        <v>600</v>
      </c>
      <c r="F25" s="353">
        <f>SUMIF(數據!$A:$A,$A25,數據!$L:$L)*100</f>
        <v>1100</v>
      </c>
      <c r="G25" s="353">
        <f>SUMIF(數據!$A:$A,$A25,數據!$R:$R)*100</f>
        <v>700</v>
      </c>
      <c r="H25" s="353">
        <f>SUMIF(數據!$A:$A,$A25,數據!$N:$N)*100</f>
        <v>900</v>
      </c>
      <c r="I25" s="353">
        <f>SUMIF(數據!$A:$A,$A25,數據!$Z:$Z)*500</f>
        <v>625</v>
      </c>
      <c r="J25" s="354">
        <f>SUMIF(數據!$A:$A,$A25,數據!$AH:$AH)*500</f>
        <v>0</v>
      </c>
      <c r="K25" s="355">
        <f t="shared" si="0"/>
        <v>5825</v>
      </c>
      <c r="L25" s="345"/>
      <c r="M25" s="332"/>
    </row>
    <row r="26" spans="1:14" ht="21.75" hidden="1" customHeight="1">
      <c r="A26" s="351"/>
      <c r="B26" s="352"/>
      <c r="C26" s="352"/>
      <c r="D26" s="353"/>
      <c r="E26" s="353"/>
      <c r="F26" s="353"/>
      <c r="G26" s="353"/>
      <c r="H26" s="353"/>
      <c r="I26" s="353"/>
      <c r="J26" s="354"/>
      <c r="K26" s="355"/>
      <c r="L26" s="345"/>
      <c r="M26" s="332"/>
    </row>
    <row r="27" spans="1:14" ht="21.75" customHeight="1">
      <c r="A27" s="351" t="s">
        <v>103</v>
      </c>
      <c r="B27" s="352">
        <f>SUMIF(■我的AQ獎金!$B$3:$B$22,$A27,■我的AQ獎金!$H$3:$H$22)</f>
        <v>0.63157894736842102</v>
      </c>
      <c r="C27" s="352">
        <f>SUMIF(■我的RT獎金!$B$3:$B$22,$A27,■我的RT獎金!$H$3:$H$22)</f>
        <v>0.78947368421052633</v>
      </c>
      <c r="D27" s="353">
        <f>SUMIF(數據!$A:$A,$A27,數據!$C:$C)*100</f>
        <v>1200</v>
      </c>
      <c r="E27" s="353">
        <f>SUMIF(數據!$A:$A,$A27,數據!$G:$G)*300</f>
        <v>300</v>
      </c>
      <c r="F27" s="353">
        <f>SUMIF(數據!$A:$A,$A27,數據!$L:$L)*100</f>
        <v>1000</v>
      </c>
      <c r="G27" s="353">
        <f>SUMIF(數據!$A:$A,$A27,數據!$R:$R)*100</f>
        <v>200</v>
      </c>
      <c r="H27" s="353">
        <f>SUMIF(數據!$A:$A,$A27,數據!$N:$N)*100</f>
        <v>500</v>
      </c>
      <c r="I27" s="353">
        <f>SUMIF(數據!$A:$A,$A27,數據!$Z:$Z)*500</f>
        <v>1250</v>
      </c>
      <c r="J27" s="354">
        <f>SUMIF(數據!$A:$A,$A27,數據!$AH:$AH)*500</f>
        <v>0</v>
      </c>
      <c r="K27" s="355">
        <f t="shared" si="0"/>
        <v>4450</v>
      </c>
      <c r="L27" s="345"/>
      <c r="M27" s="332"/>
    </row>
    <row r="28" spans="1:14" ht="21.75" customHeight="1">
      <c r="A28" s="351" t="s">
        <v>112</v>
      </c>
      <c r="B28" s="352">
        <f>SUMIF(■我的AQ獎金!$B$3:$B$22,$A28,■我的AQ獎金!$H$3:$H$22)</f>
        <v>0.6875</v>
      </c>
      <c r="C28" s="352">
        <f>SUMIF(■我的RT獎金!$B$3:$B$22,$A28,■我的RT獎金!$H$3:$H$22)</f>
        <v>1.0714285714285714</v>
      </c>
      <c r="D28" s="353">
        <f>SUMIF(數據!$A:$A,$A28,數據!$C:$C)*100</f>
        <v>550</v>
      </c>
      <c r="E28" s="353">
        <f>SUMIF(數據!$A:$A,$A28,數據!$G:$G)*300</f>
        <v>0</v>
      </c>
      <c r="F28" s="353">
        <f>SUMIF(數據!$A:$A,$A28,數據!$L:$L)*100</f>
        <v>1100</v>
      </c>
      <c r="G28" s="353">
        <f>SUMIF(數據!$A:$A,$A28,數據!$R:$R)*100</f>
        <v>500</v>
      </c>
      <c r="H28" s="353">
        <f>SUMIF(數據!$A:$A,$A28,數據!$N:$N)*100</f>
        <v>300</v>
      </c>
      <c r="I28" s="353">
        <f>SUMIF(數據!$A:$A,$A28,數據!$Z:$Z)*500</f>
        <v>0</v>
      </c>
      <c r="J28" s="354">
        <f>SUMIF(數據!$A:$A,$A28,數據!$AH:$AH)*500</f>
        <v>0</v>
      </c>
      <c r="K28" s="355">
        <f t="shared" si="0"/>
        <v>2450</v>
      </c>
      <c r="L28" s="345"/>
      <c r="M28" s="332"/>
    </row>
    <row r="29" spans="1:14" ht="21.75" customHeight="1">
      <c r="A29" s="351" t="s">
        <v>23</v>
      </c>
      <c r="B29" s="352">
        <f>SUMIF(■我的AQ獎金!$B$3:$B$22,$A29,■我的AQ獎金!$H$3:$H$22)</f>
        <v>0.86842105263157898</v>
      </c>
      <c r="C29" s="352">
        <f>SUMIF(■我的RT獎金!$B$3:$B$22,$A29,■我的RT獎金!$H$3:$H$22)</f>
        <v>1.5263157894736843</v>
      </c>
      <c r="D29" s="353">
        <f>SUMIF(數據!$A:$A,$A29,數據!$C:$C)*100</f>
        <v>1650</v>
      </c>
      <c r="E29" s="353">
        <f>SUMIF(數據!$A:$A,$A29,數據!$G:$G)*300</f>
        <v>300</v>
      </c>
      <c r="F29" s="353">
        <f>SUMIF(數據!$A:$A,$A29,數據!$L:$L)*100</f>
        <v>1100</v>
      </c>
      <c r="G29" s="353">
        <f>SUMIF(數據!$A:$A,$A29,數據!$R:$R)*100</f>
        <v>600</v>
      </c>
      <c r="H29" s="353">
        <f>SUMIF(數據!$A:$A,$A29,數據!$N:$N)*100</f>
        <v>1300</v>
      </c>
      <c r="I29" s="353">
        <f>SUMIF(數據!$A:$A,$A29,數據!$Z:$Z)*500</f>
        <v>2125</v>
      </c>
      <c r="J29" s="354">
        <f>SUMIF(數據!$A:$A,$A29,數據!$AH:$AH)*500</f>
        <v>500</v>
      </c>
      <c r="K29" s="355">
        <f t="shared" si="0"/>
        <v>7575</v>
      </c>
      <c r="L29" s="345"/>
      <c r="M29" s="332"/>
    </row>
    <row r="30" spans="1:14" ht="20.45" customHeight="1" thickBot="1">
      <c r="A30" s="357" t="s">
        <v>134</v>
      </c>
      <c r="B30" s="358"/>
      <c r="C30" s="358"/>
      <c r="D30" s="359">
        <f t="shared" ref="D30:K30" si="1">SUM(D10:D29)</f>
        <v>33700</v>
      </c>
      <c r="E30" s="359">
        <f t="shared" si="1"/>
        <v>9000</v>
      </c>
      <c r="F30" s="359">
        <f t="shared" si="1"/>
        <v>18500</v>
      </c>
      <c r="G30" s="359">
        <f t="shared" si="1"/>
        <v>11400</v>
      </c>
      <c r="H30" s="359">
        <f t="shared" si="1"/>
        <v>13000</v>
      </c>
      <c r="I30" s="359">
        <f t="shared" si="1"/>
        <v>12250</v>
      </c>
      <c r="J30" s="356">
        <f t="shared" si="1"/>
        <v>1000</v>
      </c>
      <c r="K30" s="356">
        <f t="shared" si="1"/>
        <v>98850</v>
      </c>
      <c r="L30" s="345"/>
      <c r="M30" s="345"/>
      <c r="N30" s="345"/>
    </row>
    <row r="31" spans="1:14" ht="25.7" customHeight="1">
      <c r="A31" s="484"/>
      <c r="B31" s="485"/>
      <c r="C31" s="485"/>
      <c r="D31" s="486"/>
      <c r="E31" s="486"/>
      <c r="F31" s="486"/>
      <c r="G31" s="486"/>
      <c r="H31" s="486"/>
      <c r="I31" s="486"/>
      <c r="J31" s="375"/>
      <c r="K31" s="375"/>
      <c r="L31" s="345"/>
      <c r="M31" s="345"/>
      <c r="N31" s="345"/>
    </row>
    <row r="32" spans="1:14" ht="27.75" customHeight="1">
      <c r="A32" s="569" t="s">
        <v>268</v>
      </c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346"/>
      <c r="M32" s="345"/>
      <c r="N32" s="345"/>
    </row>
    <row r="33" spans="1:13" ht="31.5" customHeight="1">
      <c r="A33" s="360" t="s">
        <v>7</v>
      </c>
      <c r="B33" s="361" t="s">
        <v>261</v>
      </c>
      <c r="C33" s="361" t="s">
        <v>262</v>
      </c>
      <c r="D33" s="361" t="s">
        <v>263</v>
      </c>
      <c r="E33" s="361" t="s">
        <v>264</v>
      </c>
      <c r="F33" s="361" t="s">
        <v>265</v>
      </c>
      <c r="G33" s="361" t="s">
        <v>266</v>
      </c>
      <c r="H33" s="360" t="s">
        <v>250</v>
      </c>
      <c r="I33" s="360" t="s">
        <v>251</v>
      </c>
      <c r="J33" s="361" t="s">
        <v>252</v>
      </c>
      <c r="K33" s="360" t="s">
        <v>269</v>
      </c>
      <c r="L33" s="345"/>
      <c r="M33" s="332"/>
    </row>
    <row r="34" spans="1:13" ht="21.75" customHeight="1">
      <c r="A34" s="362" t="s">
        <v>96</v>
      </c>
      <c r="B34" s="363">
        <f>SUMIF(■我的AQ獎金!$B$3:$B$22,$A34,■我的AQ獎金!$K$3:$K$22)</f>
        <v>0.10526315789473684</v>
      </c>
      <c r="C34" s="363">
        <f>SUMIF(■我的RT獎金!$B$3:$B$22,$A34,■我的RT獎金!$K$3:$K$22)</f>
        <v>9.6774193548387094E-2</v>
      </c>
      <c r="D34" s="364">
        <f>SUMIF(數據!$A:$A,$A34,數據!$D:$D)*100</f>
        <v>200</v>
      </c>
      <c r="E34" s="364">
        <v>0</v>
      </c>
      <c r="F34" s="364">
        <f>SUMIF(數據!$A:$A,$A34,數據!$M:$M)*100</f>
        <v>0</v>
      </c>
      <c r="G34" s="364">
        <f>SUMIF(數據!$A:$A,$A34,數據!$S:$S)*100</f>
        <v>300</v>
      </c>
      <c r="H34" s="364">
        <f>SUMIF(數據!$A:$A,$A34,數據!$O:$O)*100</f>
        <v>100</v>
      </c>
      <c r="I34" s="364">
        <f>SUMIF(數據!$A:$A,$A34,數據!$AA:$AA)*500</f>
        <v>0</v>
      </c>
      <c r="J34" s="364">
        <v>0</v>
      </c>
      <c r="K34" s="365">
        <f t="shared" ref="K34:K53" si="2">SUM(D34:J34)</f>
        <v>600</v>
      </c>
      <c r="L34" s="345"/>
      <c r="M34" s="332"/>
    </row>
    <row r="35" spans="1:13" ht="21.75" customHeight="1">
      <c r="A35" s="362" t="s">
        <v>108</v>
      </c>
      <c r="B35" s="363">
        <f>SUMIF(■我的AQ獎金!$B$3:$B$22,$A35,■我的AQ獎金!$K$3:$K$22)</f>
        <v>0</v>
      </c>
      <c r="C35" s="363">
        <f>SUMIF(■我的RT獎金!$B$3:$B$22,$A35,■我的RT獎金!$K$3:$K$22)</f>
        <v>6.8965517241379309E-2</v>
      </c>
      <c r="D35" s="364">
        <f>SUMIF(數據!$A:$A,$A35,數據!$D:$D)*100</f>
        <v>0</v>
      </c>
      <c r="E35" s="364">
        <v>0</v>
      </c>
      <c r="F35" s="364">
        <f>SUMIF(數據!$A:$A,$A35,數據!$M:$M)*100</f>
        <v>100</v>
      </c>
      <c r="G35" s="364">
        <f>SUMIF(數據!$A:$A,$A35,數據!$S:$S)*100</f>
        <v>100</v>
      </c>
      <c r="H35" s="364">
        <f>SUMIF(數據!$A:$A,$A35,數據!$O:$O)*100</f>
        <v>0</v>
      </c>
      <c r="I35" s="364">
        <f>SUMIF(數據!$A:$A,$A35,數據!$AA:$AA)*500</f>
        <v>0</v>
      </c>
      <c r="J35" s="364">
        <v>0</v>
      </c>
      <c r="K35" s="365">
        <f t="shared" si="2"/>
        <v>200</v>
      </c>
      <c r="L35" s="345"/>
      <c r="M35" s="332"/>
    </row>
    <row r="36" spans="1:13" ht="21.75" customHeight="1">
      <c r="A36" s="362" t="s">
        <v>101</v>
      </c>
      <c r="B36" s="363">
        <f>SUMIF(■我的AQ獎金!$B$3:$B$22,$A36,■我的AQ獎金!$K$3:$K$22)</f>
        <v>0</v>
      </c>
      <c r="C36" s="363">
        <f>SUMIF(■我的RT獎金!$B$3:$B$22,$A36,■我的RT獎金!$K$3:$K$22)</f>
        <v>7.407407407407407E-2</v>
      </c>
      <c r="D36" s="364">
        <f>SUMIF(數據!$A:$A,$A36,數據!$D:$D)*100</f>
        <v>0</v>
      </c>
      <c r="E36" s="364">
        <v>0</v>
      </c>
      <c r="F36" s="364">
        <f>SUMIF(數據!$A:$A,$A36,數據!$M:$M)*100</f>
        <v>0</v>
      </c>
      <c r="G36" s="364">
        <f>SUMIF(數據!$A:$A,$A36,數據!$S:$S)*100</f>
        <v>0</v>
      </c>
      <c r="H36" s="364">
        <f>SUMIF(數據!$A:$A,$A36,數據!$O:$O)*100</f>
        <v>0</v>
      </c>
      <c r="I36" s="364">
        <f>SUMIF(數據!$A:$A,$A36,數據!$AA:$AA)*500</f>
        <v>0</v>
      </c>
      <c r="J36" s="364">
        <v>0</v>
      </c>
      <c r="K36" s="365">
        <f t="shared" si="2"/>
        <v>0</v>
      </c>
      <c r="L36" s="345"/>
      <c r="M36" s="332"/>
    </row>
    <row r="37" spans="1:13" ht="21.75" customHeight="1">
      <c r="A37" s="362" t="s">
        <v>106</v>
      </c>
      <c r="B37" s="363">
        <f>SUMIF(■我的AQ獎金!$B$3:$B$22,$A37,■我的AQ獎金!$K$3:$K$22)</f>
        <v>0.60526315789473684</v>
      </c>
      <c r="C37" s="363">
        <f>SUMIF(■我的RT獎金!$B$3:$B$22,$A37,■我的RT獎金!$K$3:$K$22)</f>
        <v>4.1666666666666664E-2</v>
      </c>
      <c r="D37" s="364">
        <f>SUMIF(數據!$A:$A,$A37,數據!$D:$D)*100</f>
        <v>1150</v>
      </c>
      <c r="E37" s="364">
        <v>0</v>
      </c>
      <c r="F37" s="364">
        <f>SUMIF(數據!$A:$A,$A37,數據!$M:$M)*100</f>
        <v>0</v>
      </c>
      <c r="G37" s="364">
        <f>SUMIF(數據!$A:$A,$A37,數據!$S:$S)*100</f>
        <v>0</v>
      </c>
      <c r="H37" s="364">
        <f>SUMIF(數據!$A:$A,$A37,數據!$O:$O)*100</f>
        <v>100</v>
      </c>
      <c r="I37" s="364">
        <f>SUMIF(數據!$A:$A,$A37,數據!$AA:$AA)*500</f>
        <v>0</v>
      </c>
      <c r="J37" s="364">
        <v>0</v>
      </c>
      <c r="K37" s="365">
        <f t="shared" si="2"/>
        <v>1250</v>
      </c>
      <c r="L37" s="345"/>
      <c r="M37" s="332"/>
    </row>
    <row r="38" spans="1:13" ht="21.75" customHeight="1">
      <c r="A38" s="362" t="s">
        <v>97</v>
      </c>
      <c r="B38" s="363">
        <f>SUMIF(■我的AQ獎金!$B$3:$B$22,$A38,■我的AQ獎金!$K$3:$K$22)</f>
        <v>0</v>
      </c>
      <c r="C38" s="363">
        <f>SUMIF(■我的RT獎金!$B$3:$B$22,$A38,■我的RT獎金!$K$3:$K$22)</f>
        <v>6.8965517241379309E-2</v>
      </c>
      <c r="D38" s="364">
        <f>SUMIF(數據!$A:$A,$A38,數據!$D:$D)*100</f>
        <v>0</v>
      </c>
      <c r="E38" s="364">
        <v>0</v>
      </c>
      <c r="F38" s="364">
        <f>SUMIF(數據!$A:$A,$A38,數據!$M:$M)*100</f>
        <v>0</v>
      </c>
      <c r="G38" s="364">
        <f>SUMIF(數據!$A:$A,$A38,數據!$S:$S)*100</f>
        <v>0</v>
      </c>
      <c r="H38" s="364">
        <f>SUMIF(數據!$A:$A,$A38,數據!$O:$O)*100</f>
        <v>0</v>
      </c>
      <c r="I38" s="364">
        <f>SUMIF(數據!$A:$A,$A38,數據!$AA:$AA)*500</f>
        <v>0</v>
      </c>
      <c r="J38" s="364">
        <v>0</v>
      </c>
      <c r="K38" s="365">
        <f t="shared" si="2"/>
        <v>0</v>
      </c>
      <c r="L38" s="345"/>
      <c r="M38" s="332"/>
    </row>
    <row r="39" spans="1:13" ht="21.75" customHeight="1">
      <c r="A39" s="362" t="s">
        <v>98</v>
      </c>
      <c r="B39" s="363">
        <f>SUMIF(■我的AQ獎金!$B$3:$B$22,$A39,■我的AQ獎金!$K$3:$K$22)</f>
        <v>0.60526315789473684</v>
      </c>
      <c r="C39" s="363">
        <f>SUMIF(■我的RT獎金!$B$3:$B$22,$A39,■我的RT獎金!$K$3:$K$22)</f>
        <v>0.10344827586206896</v>
      </c>
      <c r="D39" s="364">
        <f>SUMIF(數據!$A:$A,$A39,數據!$D:$D)*100</f>
        <v>1150</v>
      </c>
      <c r="E39" s="364">
        <v>0</v>
      </c>
      <c r="F39" s="364">
        <f>SUMIF(數據!$A:$A,$A39,數據!$M:$M)*100</f>
        <v>0</v>
      </c>
      <c r="G39" s="364">
        <f>SUMIF(數據!$A:$A,$A39,數據!$S:$S)*100</f>
        <v>200</v>
      </c>
      <c r="H39" s="364">
        <f>SUMIF(數據!$A:$A,$A39,數據!$O:$O)*100</f>
        <v>100</v>
      </c>
      <c r="I39" s="364">
        <f>SUMIF(數據!$A:$A,$A39,數據!$AA:$AA)*500</f>
        <v>0</v>
      </c>
      <c r="J39" s="364">
        <v>0</v>
      </c>
      <c r="K39" s="365">
        <f t="shared" si="2"/>
        <v>1450</v>
      </c>
      <c r="L39" s="345"/>
      <c r="M39" s="332"/>
    </row>
    <row r="40" spans="1:13" ht="21.75" customHeight="1">
      <c r="A40" s="362" t="s">
        <v>110</v>
      </c>
      <c r="B40" s="363">
        <f>SUMIF(■我的AQ獎金!$B$3:$B$22,$A40,■我的AQ獎金!$K$3:$K$22)</f>
        <v>0</v>
      </c>
      <c r="C40" s="363">
        <f>SUMIF(■我的RT獎金!$B$3:$B$22,$A40,■我的RT獎金!$K$3:$K$22)</f>
        <v>0.125</v>
      </c>
      <c r="D40" s="364">
        <f>SUMIF(數據!$A:$A,$A40,數據!$D:$D)*100</f>
        <v>0</v>
      </c>
      <c r="E40" s="364">
        <v>0</v>
      </c>
      <c r="F40" s="364">
        <f>SUMIF(數據!$A:$A,$A40,數據!$M:$M)*100</f>
        <v>100</v>
      </c>
      <c r="G40" s="364">
        <f>SUMIF(數據!$A:$A,$A40,數據!$S:$S)*100</f>
        <v>0</v>
      </c>
      <c r="H40" s="364">
        <f>SUMIF(數據!$A:$A,$A40,數據!$O:$O)*100</f>
        <v>100</v>
      </c>
      <c r="I40" s="364">
        <f>SUMIF(數據!$A:$A,$A40,數據!$AA:$AA)*500</f>
        <v>0</v>
      </c>
      <c r="J40" s="364">
        <v>0</v>
      </c>
      <c r="K40" s="365">
        <f t="shared" si="2"/>
        <v>200</v>
      </c>
      <c r="L40" s="345"/>
      <c r="M40" s="332"/>
    </row>
    <row r="41" spans="1:13" ht="21.75" customHeight="1">
      <c r="A41" s="362" t="s">
        <v>99</v>
      </c>
      <c r="B41" s="363">
        <f>SUMIF(■我的AQ獎金!$B$3:$B$22,$A41,■我的AQ獎金!$K$3:$K$22)</f>
        <v>0</v>
      </c>
      <c r="C41" s="363">
        <f>SUMIF(■我的RT獎金!$B$3:$B$22,$A41,■我的RT獎金!$K$3:$K$22)</f>
        <v>7.6923076923076927E-2</v>
      </c>
      <c r="D41" s="364">
        <f>SUMIF(數據!$A:$A,$A41,數據!$D:$D)*100</f>
        <v>0</v>
      </c>
      <c r="E41" s="364">
        <v>0</v>
      </c>
      <c r="F41" s="364">
        <f>SUMIF(數據!$A:$A,$A41,數據!$M:$M)*100</f>
        <v>200</v>
      </c>
      <c r="G41" s="364">
        <f>SUMIF(數據!$A:$A,$A41,數據!$S:$S)*100</f>
        <v>100</v>
      </c>
      <c r="H41" s="364">
        <f>SUMIF(數據!$A:$A,$A41,數據!$O:$O)*100</f>
        <v>0</v>
      </c>
      <c r="I41" s="364">
        <f>SUMIF(數據!$A:$A,$A41,數據!$AA:$AA)*500</f>
        <v>0</v>
      </c>
      <c r="J41" s="364">
        <v>0</v>
      </c>
      <c r="K41" s="365">
        <f t="shared" si="2"/>
        <v>300</v>
      </c>
      <c r="L41" s="345"/>
      <c r="M41" s="332"/>
    </row>
    <row r="42" spans="1:13" ht="21.75" customHeight="1">
      <c r="A42" s="362" t="s">
        <v>88</v>
      </c>
      <c r="B42" s="363">
        <f>SUMIF(■我的AQ獎金!$B$3:$B$22,$A42,■我的AQ獎金!$K$3:$K$22)</f>
        <v>0</v>
      </c>
      <c r="C42" s="363">
        <f>SUMIF(■我的RT獎金!$B$3:$B$22,$A42,■我的RT獎金!$K$3:$K$22)</f>
        <v>0</v>
      </c>
      <c r="D42" s="364">
        <f>SUMIF(數據!$A:$A,$A42,數據!$D:$D)*100</f>
        <v>0</v>
      </c>
      <c r="E42" s="364">
        <v>0</v>
      </c>
      <c r="F42" s="364">
        <f>SUMIF(數據!$A:$A,$A42,數據!$M:$M)*100</f>
        <v>0</v>
      </c>
      <c r="G42" s="364">
        <f>SUMIF(數據!$A:$A,$A42,數據!$S:$S)*100</f>
        <v>0</v>
      </c>
      <c r="H42" s="364">
        <f>SUMIF(數據!$A:$A,$A42,數據!$O:$O)*100</f>
        <v>0</v>
      </c>
      <c r="I42" s="364">
        <f>SUMIF(數據!$A:$A,$A42,數據!$AA:$AA)*500</f>
        <v>750</v>
      </c>
      <c r="J42" s="364">
        <v>0</v>
      </c>
      <c r="K42" s="365">
        <f t="shared" si="2"/>
        <v>750</v>
      </c>
      <c r="L42" s="345"/>
      <c r="M42" s="332"/>
    </row>
    <row r="43" spans="1:13" ht="21.75" customHeight="1">
      <c r="A43" s="362" t="s">
        <v>107</v>
      </c>
      <c r="B43" s="363">
        <f>SUMIF(■我的AQ獎金!$B$3:$B$22,$A43,■我的AQ獎金!$K$3:$K$22)</f>
        <v>0</v>
      </c>
      <c r="C43" s="363">
        <f>SUMIF(■我的RT獎金!$B$3:$B$22,$A43,■我的RT獎金!$K$3:$K$22)</f>
        <v>0.13043478260869565</v>
      </c>
      <c r="D43" s="364">
        <f>SUMIF(數據!$A:$A,$A43,數據!$D:$D)*100</f>
        <v>0</v>
      </c>
      <c r="E43" s="364">
        <v>0</v>
      </c>
      <c r="F43" s="364">
        <f>SUMIF(數據!$A:$A,$A43,數據!$M:$M)*100</f>
        <v>0</v>
      </c>
      <c r="G43" s="364">
        <f>SUMIF(數據!$A:$A,$A43,數據!$S:$S)*100</f>
        <v>100</v>
      </c>
      <c r="H43" s="364">
        <f>SUMIF(數據!$A:$A,$A43,數據!$O:$O)*100</f>
        <v>100</v>
      </c>
      <c r="I43" s="364">
        <f>SUMIF(數據!$A:$A,$A43,數據!$AA:$AA)*500</f>
        <v>0</v>
      </c>
      <c r="J43" s="364">
        <v>0</v>
      </c>
      <c r="K43" s="365">
        <f t="shared" si="2"/>
        <v>200</v>
      </c>
      <c r="L43" s="345"/>
      <c r="M43" s="332"/>
    </row>
    <row r="44" spans="1:13" ht="21.75" customHeight="1">
      <c r="A44" s="362" t="s">
        <v>93</v>
      </c>
      <c r="B44" s="363">
        <f>SUMIF(■我的AQ獎金!$B$3:$B$22,$A44,■我的AQ獎金!$K$3:$K$22)</f>
        <v>0</v>
      </c>
      <c r="C44" s="363">
        <f>SUMIF(■我的RT獎金!$B$3:$B$22,$A44,■我的RT獎金!$K$3:$K$22)</f>
        <v>0</v>
      </c>
      <c r="D44" s="364">
        <f>SUMIF(數據!$A:$A,$A44,數據!$D:$D)*100</f>
        <v>0</v>
      </c>
      <c r="E44" s="364">
        <v>0</v>
      </c>
      <c r="F44" s="364">
        <f>SUMIF(數據!$A:$A,$A44,數據!$M:$M)*100</f>
        <v>0</v>
      </c>
      <c r="G44" s="364">
        <f>SUMIF(數據!$A:$A,$A44,數據!$S:$S)*100</f>
        <v>0</v>
      </c>
      <c r="H44" s="364">
        <f>SUMIF(數據!$A:$A,$A44,數據!$O:$O)*100</f>
        <v>0</v>
      </c>
      <c r="I44" s="364">
        <f>SUMIF(數據!$A:$A,$A44,數據!$AA:$AA)*500</f>
        <v>0</v>
      </c>
      <c r="J44" s="364">
        <v>0</v>
      </c>
      <c r="K44" s="365">
        <f t="shared" si="2"/>
        <v>0</v>
      </c>
      <c r="L44" s="345"/>
      <c r="M44" s="332"/>
    </row>
    <row r="45" spans="1:13" ht="21.75" customHeight="1">
      <c r="A45" s="362" t="s">
        <v>105</v>
      </c>
      <c r="B45" s="363">
        <f>SUMIF(■我的AQ獎金!$B$3:$B$22,$A45,■我的AQ獎金!$K$3:$K$22)</f>
        <v>0</v>
      </c>
      <c r="C45" s="363">
        <f>SUMIF(■我的RT獎金!$B$3:$B$22,$A45,■我的RT獎金!$K$3:$K$22)</f>
        <v>2.6315789473684209E-2</v>
      </c>
      <c r="D45" s="364">
        <f>SUMIF(數據!$A:$A,$A45,數據!$D:$D)*100</f>
        <v>0</v>
      </c>
      <c r="E45" s="364">
        <v>0</v>
      </c>
      <c r="F45" s="364">
        <f>SUMIF(數據!$A:$A,$A45,數據!$M:$M)*100</f>
        <v>0</v>
      </c>
      <c r="G45" s="364">
        <f>SUMIF(數據!$A:$A,$A45,數據!$S:$S)*100</f>
        <v>0</v>
      </c>
      <c r="H45" s="364">
        <f>SUMIF(數據!$A:$A,$A45,數據!$O:$O)*100</f>
        <v>100</v>
      </c>
      <c r="I45" s="364">
        <f>SUMIF(數據!$A:$A,$A45,數據!$AA:$AA)*500</f>
        <v>0</v>
      </c>
      <c r="J45" s="364">
        <v>0</v>
      </c>
      <c r="K45" s="365">
        <f t="shared" si="2"/>
        <v>100</v>
      </c>
      <c r="L45" s="345"/>
      <c r="M45" s="332"/>
    </row>
    <row r="46" spans="1:13" ht="21.75" customHeight="1">
      <c r="A46" s="362" t="s">
        <v>102</v>
      </c>
      <c r="B46" s="363">
        <f>SUMIF(■我的AQ獎金!$B$3:$B$22,$A46,■我的AQ獎金!$K$3:$K$22)</f>
        <v>0</v>
      </c>
      <c r="C46" s="363">
        <f>SUMIF(■我的RT獎金!$B$3:$B$22,$A46,■我的RT獎金!$K$3:$K$22)</f>
        <v>0</v>
      </c>
      <c r="D46" s="364">
        <f>SUMIF(數據!$A:$A,$A46,數據!$D:$D)*100</f>
        <v>0</v>
      </c>
      <c r="E46" s="364">
        <v>0</v>
      </c>
      <c r="F46" s="364">
        <f>SUMIF(數據!$A:$A,$A46,數據!$M:$M)*100</f>
        <v>0</v>
      </c>
      <c r="G46" s="364">
        <f>SUMIF(數據!$A:$A,$A46,數據!$S:$S)*100</f>
        <v>100</v>
      </c>
      <c r="H46" s="364">
        <f>SUMIF(數據!$A:$A,$A46,數據!$O:$O)*100</f>
        <v>0</v>
      </c>
      <c r="I46" s="364">
        <f>SUMIF(數據!$A:$A,$A46,數據!$AA:$AA)*500</f>
        <v>0</v>
      </c>
      <c r="J46" s="364">
        <v>0</v>
      </c>
      <c r="K46" s="365">
        <f t="shared" si="2"/>
        <v>100</v>
      </c>
      <c r="L46" s="345"/>
      <c r="M46" s="332"/>
    </row>
    <row r="47" spans="1:13" ht="21.75" customHeight="1">
      <c r="A47" s="362" t="s">
        <v>111</v>
      </c>
      <c r="B47" s="363">
        <f>SUMIF(■我的AQ獎金!$B$3:$B$22,$A47,■我的AQ獎金!$K$3:$K$22)</f>
        <v>0</v>
      </c>
      <c r="C47" s="363">
        <f>SUMIF(■我的RT獎金!$B$3:$B$22,$A47,■我的RT獎金!$K$3:$K$22)</f>
        <v>0</v>
      </c>
      <c r="D47" s="364">
        <f>SUMIF(數據!$A:$A,$A47,數據!$D:$D)*100</f>
        <v>0</v>
      </c>
      <c r="E47" s="364">
        <v>0</v>
      </c>
      <c r="F47" s="364">
        <f>SUMIF(數據!$A:$A,$A47,數據!$M:$M)*100</f>
        <v>0</v>
      </c>
      <c r="G47" s="364">
        <f>SUMIF(數據!$A:$A,$A47,數據!$S:$S)*100</f>
        <v>0</v>
      </c>
      <c r="H47" s="364">
        <f>SUMIF(數據!$A:$A,$A47,數據!$O:$O)*100</f>
        <v>0</v>
      </c>
      <c r="I47" s="364">
        <f>SUMIF(數據!$A:$A,$A47,數據!$AA:$AA)*500</f>
        <v>0</v>
      </c>
      <c r="J47" s="364">
        <v>0</v>
      </c>
      <c r="K47" s="365">
        <f t="shared" si="2"/>
        <v>0</v>
      </c>
      <c r="L47" s="345"/>
      <c r="M47" s="332"/>
    </row>
    <row r="48" spans="1:13" ht="21.75" customHeight="1">
      <c r="A48" s="362" t="s">
        <v>90</v>
      </c>
      <c r="B48" s="363">
        <f>SUMIF(■我的AQ獎金!$B$3:$B$22,$A48,■我的AQ獎金!$K$3:$K$22)</f>
        <v>0</v>
      </c>
      <c r="C48" s="363">
        <f>SUMIF(■我的RT獎金!$B$3:$B$22,$A48,■我的RT獎金!$K$3:$K$22)</f>
        <v>0.15151515151515152</v>
      </c>
      <c r="D48" s="364">
        <f>SUMIF(數據!$A:$A,$A48,數據!$D:$D)*100</f>
        <v>0</v>
      </c>
      <c r="E48" s="364">
        <v>0</v>
      </c>
      <c r="F48" s="364">
        <f>SUMIF(數據!$A:$A,$A48,數據!$M:$M)*100</f>
        <v>200</v>
      </c>
      <c r="G48" s="364">
        <f>SUMIF(數據!$A:$A,$A48,數據!$S:$S)*100</f>
        <v>0</v>
      </c>
      <c r="H48" s="364">
        <f>SUMIF(數據!$A:$A,$A48,數據!$O:$O)*100</f>
        <v>200</v>
      </c>
      <c r="I48" s="364">
        <f>SUMIF(數據!$A:$A,$A48,數據!$AA:$AA)*500</f>
        <v>0</v>
      </c>
      <c r="J48" s="364">
        <v>0</v>
      </c>
      <c r="K48" s="365">
        <f t="shared" si="2"/>
        <v>400</v>
      </c>
      <c r="L48" s="345"/>
      <c r="M48" s="332"/>
    </row>
    <row r="49" spans="1:14" ht="21.75" customHeight="1">
      <c r="A49" s="362" t="s">
        <v>109</v>
      </c>
      <c r="B49" s="363">
        <f>SUMIF(■我的AQ獎金!$B$3:$B$22,$A49,■我的AQ獎金!$K$3:$K$22)</f>
        <v>0.34210526315789475</v>
      </c>
      <c r="C49" s="363">
        <f>SUMIF(■我的RT獎金!$B$3:$B$22,$A49,■我的RT獎金!$K$3:$K$22)</f>
        <v>6.8965517241379309E-2</v>
      </c>
      <c r="D49" s="364">
        <f>SUMIF(數據!$A:$A,$A49,數據!$D:$D)*100</f>
        <v>650</v>
      </c>
      <c r="E49" s="364">
        <v>0</v>
      </c>
      <c r="F49" s="364">
        <f>SUMIF(數據!$A:$A,$A49,數據!$M:$M)*100</f>
        <v>0</v>
      </c>
      <c r="G49" s="364">
        <f>SUMIF(數據!$A:$A,$A49,數據!$S:$S)*100</f>
        <v>0</v>
      </c>
      <c r="H49" s="364">
        <f>SUMIF(數據!$A:$A,$A49,數據!$O:$O)*100</f>
        <v>0</v>
      </c>
      <c r="I49" s="364">
        <f>SUMIF(數據!$A:$A,$A49,數據!$AA:$AA)*500</f>
        <v>375</v>
      </c>
      <c r="J49" s="364">
        <v>0</v>
      </c>
      <c r="K49" s="365">
        <f t="shared" si="2"/>
        <v>1025</v>
      </c>
      <c r="L49" s="345"/>
      <c r="M49" s="332"/>
    </row>
    <row r="50" spans="1:14" ht="21.75" hidden="1" customHeight="1">
      <c r="A50" s="362"/>
      <c r="B50" s="363"/>
      <c r="C50" s="363"/>
      <c r="D50" s="364"/>
      <c r="E50" s="364"/>
      <c r="F50" s="364"/>
      <c r="G50" s="364"/>
      <c r="H50" s="364"/>
      <c r="I50" s="364"/>
      <c r="J50" s="364"/>
      <c r="K50" s="365"/>
      <c r="L50" s="345"/>
      <c r="M50" s="332"/>
    </row>
    <row r="51" spans="1:14" ht="21.75" customHeight="1">
      <c r="A51" s="362" t="s">
        <v>103</v>
      </c>
      <c r="B51" s="363">
        <f>SUMIF(■我的AQ獎金!$B$3:$B$22,$A51,■我的AQ獎金!$K$3:$K$22)</f>
        <v>0</v>
      </c>
      <c r="C51" s="363">
        <f>SUMIF(■我的RT獎金!$B$3:$B$22,$A51,■我的RT獎金!$K$3:$K$22)</f>
        <v>0</v>
      </c>
      <c r="D51" s="364">
        <f>SUMIF(數據!$A:$A,$A51,數據!$D:$D)*100</f>
        <v>0</v>
      </c>
      <c r="E51" s="364">
        <v>0</v>
      </c>
      <c r="F51" s="364">
        <f>SUMIF(數據!$A:$A,$A51,數據!$M:$M)*100</f>
        <v>0</v>
      </c>
      <c r="G51" s="364">
        <f>SUMIF(數據!$A:$A,$A51,數據!$S:$S)*100</f>
        <v>0</v>
      </c>
      <c r="H51" s="364">
        <f>SUMIF(數據!$A:$A,$A51,數據!$O:$O)*100</f>
        <v>0</v>
      </c>
      <c r="I51" s="364">
        <f>SUMIF(數據!$A:$A,$A51,數據!$AA:$AA)*500</f>
        <v>0</v>
      </c>
      <c r="J51" s="364">
        <v>0</v>
      </c>
      <c r="K51" s="365">
        <f t="shared" si="2"/>
        <v>0</v>
      </c>
      <c r="L51" s="345"/>
      <c r="M51" s="332"/>
    </row>
    <row r="52" spans="1:14" ht="21.75" customHeight="1">
      <c r="A52" s="362" t="s">
        <v>112</v>
      </c>
      <c r="B52" s="363">
        <f>SUMIF(■我的AQ獎金!$B$3:$B$22,$A52,■我的AQ獎金!$K$3:$K$22)</f>
        <v>0.3125</v>
      </c>
      <c r="C52" s="363">
        <f>SUMIF(■我的RT獎金!$B$3:$B$22,$A52,■我的RT獎金!$K$3:$K$22)</f>
        <v>0</v>
      </c>
      <c r="D52" s="364">
        <f>SUMIF(數據!$A:$A,$A52,數據!$D:$D)*100</f>
        <v>250</v>
      </c>
      <c r="E52" s="364">
        <v>0</v>
      </c>
      <c r="F52" s="364">
        <f>SUMIF(數據!$A:$A,$A52,數據!$M:$M)*100</f>
        <v>0</v>
      </c>
      <c r="G52" s="364">
        <f>SUMIF(數據!$A:$A,$A52,數據!$S:$S)*100</f>
        <v>0</v>
      </c>
      <c r="H52" s="364">
        <f>SUMIF(數據!$A:$A,$A52,數據!$O:$O)*100</f>
        <v>0</v>
      </c>
      <c r="I52" s="364">
        <f>SUMIF(數據!$A:$A,$A52,數據!$AA:$AA)*500</f>
        <v>0</v>
      </c>
      <c r="J52" s="364">
        <v>0</v>
      </c>
      <c r="K52" s="365">
        <f t="shared" si="2"/>
        <v>250</v>
      </c>
      <c r="L52" s="345"/>
      <c r="M52" s="332"/>
    </row>
    <row r="53" spans="1:14" ht="21.75" customHeight="1">
      <c r="A53" s="362" t="s">
        <v>23</v>
      </c>
      <c r="B53" s="363">
        <f>SUMIF(■我的AQ獎金!$B$3:$B$22,$A53,■我的AQ獎金!$K$3:$K$22)</f>
        <v>0</v>
      </c>
      <c r="C53" s="363">
        <f>SUMIF(■我的RT獎金!$B$3:$B$22,$A53,■我的RT獎金!$K$3:$K$22)</f>
        <v>0.17391304347826086</v>
      </c>
      <c r="D53" s="364">
        <f>SUMIF(數據!$A:$A,$A53,數據!$D:$D)*100</f>
        <v>0</v>
      </c>
      <c r="E53" s="364">
        <v>0</v>
      </c>
      <c r="F53" s="364">
        <f>SUMIF(數據!$A:$A,$A53,數據!$M:$M)*100</f>
        <v>100</v>
      </c>
      <c r="G53" s="364">
        <f>SUMIF(數據!$A:$A,$A53,數據!$S:$S)*100</f>
        <v>200</v>
      </c>
      <c r="H53" s="364">
        <f>SUMIF(數據!$A:$A,$A53,數據!$O:$O)*100</f>
        <v>100</v>
      </c>
      <c r="I53" s="364">
        <f>SUMIF(數據!$A:$A,$A53,數據!$AA:$AA)*500</f>
        <v>0</v>
      </c>
      <c r="J53" s="364">
        <v>0</v>
      </c>
      <c r="K53" s="365">
        <f t="shared" si="2"/>
        <v>400</v>
      </c>
      <c r="L53" s="345"/>
      <c r="M53" s="332"/>
    </row>
    <row r="54" spans="1:14" ht="20.45" customHeight="1" thickBot="1">
      <c r="A54" s="366" t="s">
        <v>134</v>
      </c>
      <c r="B54" s="366"/>
      <c r="C54" s="366"/>
      <c r="D54" s="367">
        <f t="shared" ref="D54:J54" si="3">SUM(D34:D53)</f>
        <v>3400</v>
      </c>
      <c r="E54" s="367">
        <f t="shared" si="3"/>
        <v>0</v>
      </c>
      <c r="F54" s="367">
        <f t="shared" si="3"/>
        <v>700</v>
      </c>
      <c r="G54" s="366">
        <f t="shared" si="3"/>
        <v>1100</v>
      </c>
      <c r="H54" s="366">
        <f t="shared" si="3"/>
        <v>900</v>
      </c>
      <c r="I54" s="366">
        <f t="shared" si="3"/>
        <v>1125</v>
      </c>
      <c r="J54" s="366">
        <f t="shared" si="3"/>
        <v>0</v>
      </c>
      <c r="K54" s="501">
        <f>SUM(K34:K53)</f>
        <v>7225</v>
      </c>
      <c r="L54" s="345"/>
      <c r="M54" s="345"/>
      <c r="N54" s="345"/>
    </row>
    <row r="55" spans="1:14" ht="22.35" customHeight="1">
      <c r="A55" s="484"/>
      <c r="B55" s="484"/>
      <c r="C55" s="484"/>
      <c r="D55" s="375"/>
      <c r="E55" s="375"/>
      <c r="F55" s="375"/>
      <c r="G55" s="484"/>
      <c r="H55" s="484"/>
      <c r="I55" s="484"/>
      <c r="J55" s="484"/>
      <c r="K55" s="484"/>
      <c r="L55" s="345"/>
      <c r="M55" s="345"/>
      <c r="N55" s="345"/>
    </row>
    <row r="56" spans="1:14" ht="27.75" customHeight="1">
      <c r="A56" s="570" t="s">
        <v>270</v>
      </c>
      <c r="B56" s="570"/>
      <c r="C56" s="570"/>
      <c r="D56" s="570"/>
      <c r="E56" s="570"/>
      <c r="F56" s="570"/>
      <c r="G56" s="570"/>
      <c r="H56" s="570"/>
      <c r="I56" s="570"/>
      <c r="J56" s="346"/>
      <c r="K56" s="345"/>
      <c r="L56" s="319"/>
      <c r="N56" s="345"/>
    </row>
    <row r="57" spans="1:14" ht="31.5" customHeight="1">
      <c r="A57" s="369" t="s">
        <v>7</v>
      </c>
      <c r="B57" s="370" t="s">
        <v>263</v>
      </c>
      <c r="C57" s="370" t="s">
        <v>264</v>
      </c>
      <c r="D57" s="370" t="s">
        <v>265</v>
      </c>
      <c r="E57" s="370" t="s">
        <v>266</v>
      </c>
      <c r="F57" s="369" t="s">
        <v>250</v>
      </c>
      <c r="G57" s="369" t="s">
        <v>251</v>
      </c>
      <c r="H57" s="370" t="s">
        <v>252</v>
      </c>
      <c r="I57" s="369" t="s">
        <v>65</v>
      </c>
      <c r="J57" s="368"/>
      <c r="K57" s="368"/>
      <c r="L57" s="345"/>
      <c r="M57" s="332"/>
    </row>
    <row r="58" spans="1:14" ht="21.75" customHeight="1">
      <c r="A58" s="371" t="s">
        <v>96</v>
      </c>
      <c r="B58" s="372">
        <f t="shared" ref="B58:B77" si="4">D10+D34</f>
        <v>2550</v>
      </c>
      <c r="C58" s="372">
        <f t="shared" ref="C58:C77" si="5">E10+E34</f>
        <v>900</v>
      </c>
      <c r="D58" s="372">
        <f t="shared" ref="D58:D77" si="6">F10+F34</f>
        <v>500</v>
      </c>
      <c r="E58" s="372">
        <f t="shared" ref="E58:E77" si="7">G10+G34</f>
        <v>700</v>
      </c>
      <c r="F58" s="372">
        <f t="shared" ref="F58:F77" si="8">H10+H34</f>
        <v>1000</v>
      </c>
      <c r="G58" s="372">
        <f t="shared" ref="G58:G77" si="9">I10+I34</f>
        <v>0</v>
      </c>
      <c r="H58" s="372">
        <f t="shared" ref="H58:H77" si="10">J10+J34</f>
        <v>0</v>
      </c>
      <c r="I58" s="373">
        <f t="shared" ref="I58:I77" si="11">SUM(B58:H58)</f>
        <v>5650</v>
      </c>
      <c r="J58" s="345"/>
      <c r="K58" s="368"/>
      <c r="L58" s="345"/>
      <c r="M58" s="332"/>
    </row>
    <row r="59" spans="1:14" ht="21.75" customHeight="1">
      <c r="A59" s="371" t="s">
        <v>108</v>
      </c>
      <c r="B59" s="372">
        <f t="shared" si="4"/>
        <v>2350</v>
      </c>
      <c r="C59" s="372">
        <f t="shared" si="5"/>
        <v>600</v>
      </c>
      <c r="D59" s="372">
        <f t="shared" si="6"/>
        <v>1100</v>
      </c>
      <c r="E59" s="372">
        <f t="shared" si="7"/>
        <v>1100</v>
      </c>
      <c r="F59" s="372">
        <f t="shared" si="8"/>
        <v>700</v>
      </c>
      <c r="G59" s="372">
        <f t="shared" si="9"/>
        <v>0</v>
      </c>
      <c r="H59" s="372">
        <f t="shared" si="10"/>
        <v>0</v>
      </c>
      <c r="I59" s="373">
        <f t="shared" si="11"/>
        <v>5850</v>
      </c>
      <c r="J59" s="345"/>
      <c r="K59" s="345"/>
      <c r="L59" s="345"/>
      <c r="M59" s="332"/>
    </row>
    <row r="60" spans="1:14" ht="21.75" customHeight="1">
      <c r="A60" s="371" t="s">
        <v>101</v>
      </c>
      <c r="B60" s="372">
        <f t="shared" si="4"/>
        <v>1500</v>
      </c>
      <c r="C60" s="372">
        <f t="shared" si="5"/>
        <v>600</v>
      </c>
      <c r="D60" s="372">
        <f t="shared" si="6"/>
        <v>900</v>
      </c>
      <c r="E60" s="372">
        <f t="shared" si="7"/>
        <v>400</v>
      </c>
      <c r="F60" s="372">
        <f t="shared" si="8"/>
        <v>700</v>
      </c>
      <c r="G60" s="372">
        <f t="shared" si="9"/>
        <v>1000</v>
      </c>
      <c r="H60" s="372">
        <f t="shared" si="10"/>
        <v>0</v>
      </c>
      <c r="I60" s="373">
        <f t="shared" si="11"/>
        <v>5100</v>
      </c>
      <c r="J60" s="345"/>
      <c r="K60" s="345"/>
      <c r="L60" s="345"/>
      <c r="M60" s="332"/>
    </row>
    <row r="61" spans="1:14" ht="21.75" customHeight="1">
      <c r="A61" s="371" t="s">
        <v>106</v>
      </c>
      <c r="B61" s="372">
        <f t="shared" si="4"/>
        <v>3450</v>
      </c>
      <c r="C61" s="372">
        <f t="shared" si="5"/>
        <v>900</v>
      </c>
      <c r="D61" s="372">
        <f t="shared" si="6"/>
        <v>500</v>
      </c>
      <c r="E61" s="372">
        <f t="shared" si="7"/>
        <v>300</v>
      </c>
      <c r="F61" s="372">
        <f t="shared" si="8"/>
        <v>900</v>
      </c>
      <c r="G61" s="372">
        <f t="shared" si="9"/>
        <v>0</v>
      </c>
      <c r="H61" s="372">
        <f t="shared" si="10"/>
        <v>500</v>
      </c>
      <c r="I61" s="373">
        <f t="shared" si="11"/>
        <v>6550</v>
      </c>
      <c r="J61" s="345"/>
      <c r="K61" s="345"/>
      <c r="L61" s="345"/>
      <c r="M61" s="332"/>
    </row>
    <row r="62" spans="1:14" ht="21.75" customHeight="1">
      <c r="A62" s="371" t="s">
        <v>97</v>
      </c>
      <c r="B62" s="372">
        <f t="shared" si="4"/>
        <v>1350</v>
      </c>
      <c r="C62" s="372">
        <f t="shared" si="5"/>
        <v>300</v>
      </c>
      <c r="D62" s="372">
        <f t="shared" si="6"/>
        <v>400</v>
      </c>
      <c r="E62" s="372">
        <f t="shared" si="7"/>
        <v>600</v>
      </c>
      <c r="F62" s="372">
        <f t="shared" si="8"/>
        <v>200</v>
      </c>
      <c r="G62" s="372">
        <f t="shared" si="9"/>
        <v>0</v>
      </c>
      <c r="H62" s="372">
        <f t="shared" si="10"/>
        <v>0</v>
      </c>
      <c r="I62" s="373">
        <f t="shared" si="11"/>
        <v>2850</v>
      </c>
      <c r="J62" s="345"/>
      <c r="K62" s="345"/>
      <c r="L62" s="345"/>
      <c r="M62" s="332"/>
    </row>
    <row r="63" spans="1:14" ht="21.75" customHeight="1">
      <c r="A63" s="371" t="s">
        <v>98</v>
      </c>
      <c r="B63" s="372">
        <f t="shared" si="4"/>
        <v>4700</v>
      </c>
      <c r="C63" s="372">
        <f t="shared" si="5"/>
        <v>1200</v>
      </c>
      <c r="D63" s="372">
        <f t="shared" si="6"/>
        <v>1300</v>
      </c>
      <c r="E63" s="372">
        <f t="shared" si="7"/>
        <v>800</v>
      </c>
      <c r="F63" s="372">
        <f t="shared" si="8"/>
        <v>500</v>
      </c>
      <c r="G63" s="372">
        <f t="shared" si="9"/>
        <v>500</v>
      </c>
      <c r="H63" s="372">
        <f t="shared" si="10"/>
        <v>0</v>
      </c>
      <c r="I63" s="373">
        <f t="shared" si="11"/>
        <v>9000</v>
      </c>
      <c r="J63" s="345"/>
      <c r="K63" s="345"/>
      <c r="L63" s="345"/>
      <c r="M63" s="332"/>
    </row>
    <row r="64" spans="1:14" ht="21.75" customHeight="1">
      <c r="A64" s="371" t="s">
        <v>110</v>
      </c>
      <c r="B64" s="372">
        <f t="shared" si="4"/>
        <v>1200</v>
      </c>
      <c r="C64" s="372">
        <f t="shared" si="5"/>
        <v>300</v>
      </c>
      <c r="D64" s="372">
        <f t="shared" si="6"/>
        <v>800</v>
      </c>
      <c r="E64" s="372">
        <f t="shared" si="7"/>
        <v>300</v>
      </c>
      <c r="F64" s="372">
        <f t="shared" si="8"/>
        <v>500</v>
      </c>
      <c r="G64" s="372">
        <f t="shared" si="9"/>
        <v>750</v>
      </c>
      <c r="H64" s="372">
        <f t="shared" si="10"/>
        <v>0</v>
      </c>
      <c r="I64" s="373">
        <f t="shared" si="11"/>
        <v>3850</v>
      </c>
      <c r="J64" s="345"/>
      <c r="K64" s="345"/>
      <c r="L64" s="345"/>
      <c r="M64" s="332"/>
    </row>
    <row r="65" spans="1:14" ht="21.75" customHeight="1">
      <c r="A65" s="371" t="s">
        <v>99</v>
      </c>
      <c r="B65" s="372">
        <f t="shared" si="4"/>
        <v>1550</v>
      </c>
      <c r="C65" s="372">
        <f t="shared" si="5"/>
        <v>300</v>
      </c>
      <c r="D65" s="372">
        <f t="shared" si="6"/>
        <v>1300</v>
      </c>
      <c r="E65" s="372">
        <f t="shared" si="7"/>
        <v>800</v>
      </c>
      <c r="F65" s="372">
        <f t="shared" si="8"/>
        <v>1000</v>
      </c>
      <c r="G65" s="372">
        <f t="shared" si="9"/>
        <v>1375</v>
      </c>
      <c r="H65" s="372">
        <f t="shared" si="10"/>
        <v>0</v>
      </c>
      <c r="I65" s="373">
        <f t="shared" si="11"/>
        <v>6325</v>
      </c>
      <c r="J65" s="345"/>
      <c r="K65" s="345"/>
      <c r="L65" s="345"/>
      <c r="M65" s="332"/>
    </row>
    <row r="66" spans="1:14" ht="21.75" customHeight="1">
      <c r="A66" s="371" t="s">
        <v>88</v>
      </c>
      <c r="B66" s="372">
        <f t="shared" si="4"/>
        <v>1200</v>
      </c>
      <c r="C66" s="372">
        <f t="shared" si="5"/>
        <v>0</v>
      </c>
      <c r="D66" s="372">
        <f t="shared" si="6"/>
        <v>1000</v>
      </c>
      <c r="E66" s="372">
        <f t="shared" si="7"/>
        <v>600</v>
      </c>
      <c r="F66" s="372">
        <f t="shared" si="8"/>
        <v>1000</v>
      </c>
      <c r="G66" s="372">
        <f t="shared" si="9"/>
        <v>750</v>
      </c>
      <c r="H66" s="372">
        <f t="shared" si="10"/>
        <v>0</v>
      </c>
      <c r="I66" s="373">
        <f t="shared" si="11"/>
        <v>4550</v>
      </c>
      <c r="J66" s="345"/>
      <c r="K66" s="345"/>
      <c r="L66" s="345"/>
      <c r="M66" s="332"/>
    </row>
    <row r="67" spans="1:14" ht="21.75" customHeight="1">
      <c r="A67" s="371" t="s">
        <v>107</v>
      </c>
      <c r="B67" s="372">
        <f t="shared" si="4"/>
        <v>1500</v>
      </c>
      <c r="C67" s="372">
        <f t="shared" si="5"/>
        <v>300</v>
      </c>
      <c r="D67" s="372">
        <f t="shared" si="6"/>
        <v>500</v>
      </c>
      <c r="E67" s="372">
        <f t="shared" si="7"/>
        <v>400</v>
      </c>
      <c r="F67" s="372">
        <f t="shared" si="8"/>
        <v>600</v>
      </c>
      <c r="G67" s="372">
        <f t="shared" si="9"/>
        <v>0</v>
      </c>
      <c r="H67" s="372">
        <f t="shared" si="10"/>
        <v>0</v>
      </c>
      <c r="I67" s="373">
        <f t="shared" si="11"/>
        <v>3300</v>
      </c>
      <c r="J67" s="345"/>
      <c r="K67" s="345"/>
      <c r="L67" s="345"/>
      <c r="M67" s="332"/>
    </row>
    <row r="68" spans="1:14" ht="21.75" customHeight="1">
      <c r="A68" s="371" t="s">
        <v>93</v>
      </c>
      <c r="B68" s="372">
        <f t="shared" si="4"/>
        <v>3550</v>
      </c>
      <c r="C68" s="372">
        <f t="shared" si="5"/>
        <v>900</v>
      </c>
      <c r="D68" s="372">
        <f t="shared" si="6"/>
        <v>2000</v>
      </c>
      <c r="E68" s="372">
        <f t="shared" si="7"/>
        <v>1400</v>
      </c>
      <c r="F68" s="372">
        <f t="shared" si="8"/>
        <v>800</v>
      </c>
      <c r="G68" s="372">
        <f t="shared" si="9"/>
        <v>625</v>
      </c>
      <c r="H68" s="372">
        <f t="shared" si="10"/>
        <v>0</v>
      </c>
      <c r="I68" s="373">
        <f t="shared" si="11"/>
        <v>9275</v>
      </c>
      <c r="J68" s="345"/>
      <c r="K68" s="345"/>
      <c r="L68" s="345"/>
      <c r="M68" s="332"/>
    </row>
    <row r="69" spans="1:14" ht="21.75" customHeight="1">
      <c r="A69" s="371" t="s">
        <v>105</v>
      </c>
      <c r="B69" s="372">
        <f t="shared" si="4"/>
        <v>1150</v>
      </c>
      <c r="C69" s="372">
        <f t="shared" si="5"/>
        <v>300</v>
      </c>
      <c r="D69" s="372">
        <f t="shared" si="6"/>
        <v>1300</v>
      </c>
      <c r="E69" s="372">
        <f t="shared" si="7"/>
        <v>700</v>
      </c>
      <c r="F69" s="372">
        <f t="shared" si="8"/>
        <v>700</v>
      </c>
      <c r="G69" s="372">
        <f t="shared" si="9"/>
        <v>1250</v>
      </c>
      <c r="H69" s="372">
        <f t="shared" si="10"/>
        <v>0</v>
      </c>
      <c r="I69" s="373">
        <f t="shared" si="11"/>
        <v>5400</v>
      </c>
      <c r="J69" s="345"/>
      <c r="K69" s="345"/>
      <c r="L69" s="345"/>
      <c r="M69" s="332"/>
    </row>
    <row r="70" spans="1:14" ht="21.75" customHeight="1">
      <c r="A70" s="371" t="s">
        <v>102</v>
      </c>
      <c r="B70" s="372">
        <f t="shared" si="4"/>
        <v>1450</v>
      </c>
      <c r="C70" s="372">
        <f t="shared" si="5"/>
        <v>300</v>
      </c>
      <c r="D70" s="372">
        <f t="shared" si="6"/>
        <v>700</v>
      </c>
      <c r="E70" s="372">
        <f t="shared" si="7"/>
        <v>700</v>
      </c>
      <c r="F70" s="372">
        <f t="shared" si="8"/>
        <v>500</v>
      </c>
      <c r="G70" s="372">
        <f t="shared" si="9"/>
        <v>0</v>
      </c>
      <c r="H70" s="372">
        <f t="shared" si="10"/>
        <v>0</v>
      </c>
      <c r="I70" s="373">
        <f t="shared" si="11"/>
        <v>3650</v>
      </c>
      <c r="J70" s="345"/>
      <c r="K70" s="345"/>
      <c r="L70" s="345"/>
      <c r="M70" s="332"/>
    </row>
    <row r="71" spans="1:14" ht="21.75" customHeight="1">
      <c r="A71" s="371" t="s">
        <v>111</v>
      </c>
      <c r="B71" s="372">
        <f t="shared" si="4"/>
        <v>1200</v>
      </c>
      <c r="C71" s="372">
        <f t="shared" si="5"/>
        <v>300</v>
      </c>
      <c r="D71" s="372">
        <f t="shared" si="6"/>
        <v>800</v>
      </c>
      <c r="E71" s="372">
        <f t="shared" si="7"/>
        <v>700</v>
      </c>
      <c r="F71" s="372">
        <f t="shared" si="8"/>
        <v>700</v>
      </c>
      <c r="G71" s="372">
        <f t="shared" si="9"/>
        <v>0</v>
      </c>
      <c r="H71" s="372">
        <f t="shared" si="10"/>
        <v>0</v>
      </c>
      <c r="I71" s="373">
        <f t="shared" si="11"/>
        <v>3700</v>
      </c>
      <c r="J71" s="345"/>
      <c r="K71" s="345"/>
      <c r="L71" s="345"/>
      <c r="M71" s="332"/>
    </row>
    <row r="72" spans="1:14" ht="21.75" customHeight="1">
      <c r="A72" s="371" t="s">
        <v>90</v>
      </c>
      <c r="B72" s="372">
        <f t="shared" si="4"/>
        <v>2200</v>
      </c>
      <c r="C72" s="372">
        <f t="shared" si="5"/>
        <v>600</v>
      </c>
      <c r="D72" s="372">
        <f t="shared" si="6"/>
        <v>1700</v>
      </c>
      <c r="E72" s="372">
        <f t="shared" si="7"/>
        <v>800</v>
      </c>
      <c r="F72" s="372">
        <f t="shared" si="8"/>
        <v>1000</v>
      </c>
      <c r="G72" s="372">
        <f t="shared" si="9"/>
        <v>2750</v>
      </c>
      <c r="H72" s="372">
        <f t="shared" si="10"/>
        <v>0</v>
      </c>
      <c r="I72" s="373">
        <f t="shared" si="11"/>
        <v>9050</v>
      </c>
      <c r="J72" s="345"/>
      <c r="K72" s="345"/>
      <c r="L72" s="345"/>
      <c r="M72" s="332"/>
    </row>
    <row r="73" spans="1:14" ht="21.75" customHeight="1">
      <c r="A73" s="371" t="s">
        <v>109</v>
      </c>
      <c r="B73" s="372">
        <f t="shared" si="4"/>
        <v>2550</v>
      </c>
      <c r="C73" s="372">
        <f t="shared" si="5"/>
        <v>600</v>
      </c>
      <c r="D73" s="372">
        <f t="shared" si="6"/>
        <v>1100</v>
      </c>
      <c r="E73" s="372">
        <f t="shared" si="7"/>
        <v>700</v>
      </c>
      <c r="F73" s="372">
        <f t="shared" si="8"/>
        <v>900</v>
      </c>
      <c r="G73" s="372">
        <f t="shared" si="9"/>
        <v>1000</v>
      </c>
      <c r="H73" s="372">
        <f t="shared" si="10"/>
        <v>0</v>
      </c>
      <c r="I73" s="373">
        <f t="shared" si="11"/>
        <v>6850</v>
      </c>
      <c r="J73" s="345"/>
      <c r="K73" s="345"/>
      <c r="L73" s="345"/>
      <c r="M73" s="332"/>
    </row>
    <row r="74" spans="1:14" ht="21.75" hidden="1" customHeight="1">
      <c r="A74" s="371"/>
      <c r="B74" s="372"/>
      <c r="C74" s="372"/>
      <c r="D74" s="372"/>
      <c r="E74" s="372"/>
      <c r="F74" s="372"/>
      <c r="G74" s="372"/>
      <c r="H74" s="372"/>
      <c r="I74" s="373"/>
      <c r="J74" s="345"/>
      <c r="K74" s="345"/>
      <c r="L74" s="345"/>
      <c r="M74" s="332"/>
    </row>
    <row r="75" spans="1:14" ht="21.75" customHeight="1">
      <c r="A75" s="371" t="s">
        <v>103</v>
      </c>
      <c r="B75" s="372">
        <f t="shared" si="4"/>
        <v>1200</v>
      </c>
      <c r="C75" s="372">
        <f t="shared" si="5"/>
        <v>300</v>
      </c>
      <c r="D75" s="372">
        <f t="shared" si="6"/>
        <v>1000</v>
      </c>
      <c r="E75" s="372">
        <f t="shared" si="7"/>
        <v>200</v>
      </c>
      <c r="F75" s="372">
        <f t="shared" si="8"/>
        <v>500</v>
      </c>
      <c r="G75" s="372">
        <f t="shared" si="9"/>
        <v>1250</v>
      </c>
      <c r="H75" s="372">
        <f t="shared" si="10"/>
        <v>0</v>
      </c>
      <c r="I75" s="373">
        <f t="shared" si="11"/>
        <v>4450</v>
      </c>
      <c r="J75" s="345"/>
      <c r="K75" s="345"/>
      <c r="L75" s="345"/>
      <c r="M75" s="332"/>
    </row>
    <row r="76" spans="1:14" ht="21.75" customHeight="1">
      <c r="A76" s="371" t="s">
        <v>112</v>
      </c>
      <c r="B76" s="372">
        <f t="shared" si="4"/>
        <v>800</v>
      </c>
      <c r="C76" s="372">
        <f t="shared" si="5"/>
        <v>0</v>
      </c>
      <c r="D76" s="372">
        <f t="shared" si="6"/>
        <v>1100</v>
      </c>
      <c r="E76" s="372">
        <f t="shared" si="7"/>
        <v>500</v>
      </c>
      <c r="F76" s="372">
        <f t="shared" si="8"/>
        <v>300</v>
      </c>
      <c r="G76" s="372">
        <f t="shared" si="9"/>
        <v>0</v>
      </c>
      <c r="H76" s="372">
        <f t="shared" si="10"/>
        <v>0</v>
      </c>
      <c r="I76" s="373">
        <f t="shared" si="11"/>
        <v>2700</v>
      </c>
      <c r="J76" s="345"/>
      <c r="K76" s="345"/>
      <c r="L76" s="345"/>
      <c r="M76" s="332"/>
    </row>
    <row r="77" spans="1:14" ht="21.75" customHeight="1">
      <c r="A77" s="371" t="s">
        <v>23</v>
      </c>
      <c r="B77" s="372">
        <f t="shared" si="4"/>
        <v>1650</v>
      </c>
      <c r="C77" s="372">
        <f t="shared" si="5"/>
        <v>300</v>
      </c>
      <c r="D77" s="372">
        <f t="shared" si="6"/>
        <v>1200</v>
      </c>
      <c r="E77" s="372">
        <f t="shared" si="7"/>
        <v>800</v>
      </c>
      <c r="F77" s="372">
        <f t="shared" si="8"/>
        <v>1400</v>
      </c>
      <c r="G77" s="372">
        <f t="shared" si="9"/>
        <v>2125</v>
      </c>
      <c r="H77" s="372">
        <f t="shared" si="10"/>
        <v>500</v>
      </c>
      <c r="I77" s="373">
        <f t="shared" si="11"/>
        <v>7975</v>
      </c>
      <c r="J77" s="375"/>
      <c r="K77" s="374"/>
      <c r="L77" s="345"/>
      <c r="M77" s="332"/>
    </row>
    <row r="78" spans="1:14" ht="15" customHeight="1" thickBot="1">
      <c r="A78" s="376" t="s">
        <v>134</v>
      </c>
      <c r="B78" s="377">
        <f t="shared" ref="B78:I78" si="12">SUM(B58:B77)</f>
        <v>37100</v>
      </c>
      <c r="C78" s="377">
        <f t="shared" si="12"/>
        <v>9000</v>
      </c>
      <c r="D78" s="377">
        <f t="shared" si="12"/>
        <v>19200</v>
      </c>
      <c r="E78" s="377">
        <f t="shared" si="12"/>
        <v>12500</v>
      </c>
      <c r="F78" s="377">
        <f t="shared" si="12"/>
        <v>13900</v>
      </c>
      <c r="G78" s="377">
        <f t="shared" si="12"/>
        <v>13375</v>
      </c>
      <c r="H78" s="377">
        <f t="shared" si="12"/>
        <v>1000</v>
      </c>
      <c r="I78" s="377">
        <f t="shared" si="12"/>
        <v>106075</v>
      </c>
      <c r="J78" s="345"/>
      <c r="K78" s="375"/>
      <c r="L78" s="345"/>
      <c r="M78" s="345"/>
      <c r="N78" s="345"/>
    </row>
    <row r="79" spans="1:14" ht="15" customHeight="1">
      <c r="A79" s="345"/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</row>
    <row r="80" spans="1:14" ht="15" customHeight="1">
      <c r="A80" s="345"/>
      <c r="B80" s="345"/>
      <c r="C80" s="345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</row>
    <row r="81" spans="1:14" ht="15" customHeight="1">
      <c r="A81" s="345"/>
      <c r="B81" s="345"/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</row>
    <row r="82" spans="1:14">
      <c r="K82" s="345"/>
    </row>
  </sheetData>
  <mergeCells count="5">
    <mergeCell ref="A1:K1"/>
    <mergeCell ref="A3:H3"/>
    <mergeCell ref="A8:K8"/>
    <mergeCell ref="A32:K32"/>
    <mergeCell ref="A56:I56"/>
  </mergeCells>
  <phoneticPr fontId="149" type="noConversion"/>
  <conditionalFormatting sqref="B10:C28 B34:C52">
    <cfRule type="cellIs" dxfId="4" priority="2" operator="lessThan">
      <formula>0.6</formula>
    </cfRule>
  </conditionalFormatting>
  <pageMargins left="0.75" right="0.75" top="0.84722222222222199" bottom="0.84722222222222199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BF1DE"/>
  </sheetPr>
  <dimension ref="A1:AE2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7" sqref="I7"/>
    </sheetView>
  </sheetViews>
  <sheetFormatPr defaultColWidth="12.7109375" defaultRowHeight="15.75" outlineLevelCol="1"/>
  <cols>
    <col min="4" max="4" width="12.7109375" customWidth="1"/>
    <col min="5" max="6" width="9.140625" hidden="1" customWidth="1" outlineLevel="1"/>
    <col min="7" max="7" width="12.7109375" hidden="1" customWidth="1" outlineLevel="1"/>
    <col min="8" max="8" width="12.7109375" customWidth="1" collapsed="1"/>
    <col min="9" max="10" width="13" customWidth="1"/>
    <col min="11" max="12" width="9.140625" hidden="1" customWidth="1" outlineLevel="1"/>
    <col min="13" max="13" width="12.7109375" hidden="1" customWidth="1" outlineLevel="1"/>
    <col min="14" max="14" width="12.7109375" customWidth="1" collapsed="1"/>
    <col min="15" max="16" width="13" customWidth="1"/>
    <col min="17" max="18" width="9.140625" hidden="1" customWidth="1" outlineLevel="1"/>
    <col min="19" max="19" width="12.7109375" hidden="1" customWidth="1" outlineLevel="1"/>
    <col min="20" max="20" width="12.7109375" customWidth="1" collapsed="1"/>
    <col min="21" max="22" width="13" customWidth="1"/>
    <col min="23" max="24" width="9.140625" hidden="1" customWidth="1" outlineLevel="1"/>
    <col min="25" max="25" width="12.7109375" hidden="1" customWidth="1" outlineLevel="1"/>
    <col min="26" max="26" width="12.7109375" customWidth="1" collapsed="1"/>
    <col min="27" max="28" width="12.7109375" customWidth="1"/>
  </cols>
  <sheetData>
    <row r="1" spans="1:31" ht="47.25" customHeight="1">
      <c r="A1" s="574" t="s">
        <v>271</v>
      </c>
      <c r="B1" s="574"/>
      <c r="C1" s="574"/>
      <c r="D1" s="378" t="s">
        <v>84</v>
      </c>
      <c r="E1" s="575" t="s">
        <v>272</v>
      </c>
      <c r="F1" s="575"/>
      <c r="G1" s="575"/>
      <c r="H1" s="575" t="s">
        <v>273</v>
      </c>
      <c r="I1" s="575"/>
      <c r="J1" s="575"/>
      <c r="K1" s="576" t="s">
        <v>274</v>
      </c>
      <c r="L1" s="576"/>
      <c r="M1" s="576"/>
      <c r="N1" s="576" t="s">
        <v>275</v>
      </c>
      <c r="O1" s="576"/>
      <c r="P1" s="576"/>
      <c r="Q1" s="571" t="s">
        <v>276</v>
      </c>
      <c r="R1" s="571"/>
      <c r="S1" s="571"/>
      <c r="T1" s="571" t="s">
        <v>277</v>
      </c>
      <c r="U1" s="571"/>
      <c r="V1" s="571"/>
      <c r="W1" s="572" t="s">
        <v>278</v>
      </c>
      <c r="X1" s="572"/>
      <c r="Y1" s="572"/>
      <c r="Z1" s="573" t="s">
        <v>279</v>
      </c>
      <c r="AA1" s="573"/>
      <c r="AB1" s="573"/>
      <c r="AC1" s="564" t="s">
        <v>229</v>
      </c>
      <c r="AD1" s="564"/>
      <c r="AE1" s="564"/>
    </row>
    <row r="2" spans="1:31" ht="26.25" customHeight="1">
      <c r="A2" s="379" t="s">
        <v>137</v>
      </c>
      <c r="B2" s="379" t="s">
        <v>7</v>
      </c>
      <c r="C2" s="379" t="s">
        <v>73</v>
      </c>
      <c r="D2" s="380"/>
      <c r="E2" s="381" t="s">
        <v>231</v>
      </c>
      <c r="F2" s="381" t="s">
        <v>232</v>
      </c>
      <c r="G2" s="381" t="s">
        <v>233</v>
      </c>
      <c r="H2" s="381" t="s">
        <v>231</v>
      </c>
      <c r="I2" s="381" t="s">
        <v>232</v>
      </c>
      <c r="J2" s="381" t="s">
        <v>233</v>
      </c>
      <c r="K2" s="381" t="s">
        <v>231</v>
      </c>
      <c r="L2" s="381" t="s">
        <v>232</v>
      </c>
      <c r="M2" s="381" t="s">
        <v>233</v>
      </c>
      <c r="N2" s="381" t="s">
        <v>231</v>
      </c>
      <c r="O2" s="381" t="s">
        <v>232</v>
      </c>
      <c r="P2" s="381" t="s">
        <v>233</v>
      </c>
      <c r="Q2" s="381" t="s">
        <v>231</v>
      </c>
      <c r="R2" s="381" t="s">
        <v>232</v>
      </c>
      <c r="S2" s="381" t="s">
        <v>233</v>
      </c>
      <c r="T2" s="381" t="s">
        <v>231</v>
      </c>
      <c r="U2" s="381" t="s">
        <v>232</v>
      </c>
      <c r="V2" s="381" t="s">
        <v>233</v>
      </c>
      <c r="W2" s="381" t="s">
        <v>231</v>
      </c>
      <c r="X2" s="381" t="s">
        <v>232</v>
      </c>
      <c r="Y2" s="381" t="s">
        <v>233</v>
      </c>
      <c r="Z2" s="381" t="s">
        <v>231</v>
      </c>
      <c r="AA2" s="381" t="s">
        <v>232</v>
      </c>
      <c r="AB2" s="381" t="s">
        <v>233</v>
      </c>
      <c r="AC2" s="381" t="s">
        <v>231</v>
      </c>
      <c r="AD2" s="381" t="s">
        <v>232</v>
      </c>
      <c r="AE2" s="381" t="s">
        <v>233</v>
      </c>
    </row>
    <row r="3" spans="1:31" ht="26.25" customHeight="1">
      <c r="A3" s="382" t="s">
        <v>17</v>
      </c>
      <c r="B3" s="383" t="s">
        <v>96</v>
      </c>
      <c r="C3" s="384" t="s">
        <v>91</v>
      </c>
      <c r="D3" s="385">
        <f t="shared" ref="D3:D22" si="0">G3+J3+M3+P3+S3+V3+Y3+AB3+AE3</f>
        <v>-2500</v>
      </c>
      <c r="E3" s="386">
        <f>SUMIF('5. 安打紀錄表'!$W:$W,$B3,'5. 安打紀錄表'!$Y:$Y)</f>
        <v>21</v>
      </c>
      <c r="F3" s="387">
        <f>SUMIF(數據!$A:$A,$B3,數據!$V:$V)</f>
        <v>15</v>
      </c>
      <c r="G3" s="388" t="str">
        <f t="shared" ref="G3:G22" si="1">IF(F3&gt;=E3,0,"-500")</f>
        <v>-500</v>
      </c>
      <c r="H3" s="386">
        <f>SUMIF('5. 安打紀錄表'!$W:$W,$B3,'5. 安打紀錄表'!$Z:$Z)</f>
        <v>25</v>
      </c>
      <c r="I3" s="387">
        <f>SUMIF(數據!$A:$A,$B3,數據!$W:W)</f>
        <v>2</v>
      </c>
      <c r="J3" s="389" t="str">
        <f t="shared" ref="J3:J22" si="2">IF(I3&gt;=H3,0,"-500")</f>
        <v>-500</v>
      </c>
      <c r="K3" s="386">
        <f>SUMIF('5. 安打紀錄表'!$W:$W,$B3,'5. 安打紀錄表'!$AA:$AA)</f>
        <v>9</v>
      </c>
      <c r="L3" s="390">
        <f>SUMIF(數據!$A:$A,$B3,數據!$X:$X)</f>
        <v>9</v>
      </c>
      <c r="M3" s="391">
        <f t="shared" ref="M3:M22" si="3">IF(L3&gt;=K3,0,"-500")</f>
        <v>0</v>
      </c>
      <c r="N3" s="386">
        <f>SUMIF('5. 安打紀錄表'!$W:$W,$B3,'5. 安打紀錄表'!$AB:$AB)</f>
        <v>12</v>
      </c>
      <c r="O3" s="390">
        <f>SUMIF(數據!$A:$A,$B3,數據!$Y:$Y)</f>
        <v>2</v>
      </c>
      <c r="P3" s="391" t="str">
        <f t="shared" ref="P3:P22" si="4">IF(O3&gt;=N3,0,"-500")</f>
        <v>-500</v>
      </c>
      <c r="Q3" s="392">
        <f>SUMIF('5. 安打紀錄表'!$W:$W,$B3,'5. 安打紀錄表'!$AC:$AC)</f>
        <v>9237</v>
      </c>
      <c r="R3" s="387">
        <f>SUMIF(數據!$A:$A,$B3,數據!$AE:$AE)</f>
        <v>9566.02</v>
      </c>
      <c r="S3" s="391">
        <f t="shared" ref="S3:S22" si="5">IF(R3&gt;=Q3,0,"-500")</f>
        <v>0</v>
      </c>
      <c r="T3" s="392">
        <f>SUMIF('5. 安打紀錄表'!$W:$W,$B3,'5. 安打紀錄表'!$AD:$AD)</f>
        <v>11289</v>
      </c>
      <c r="U3" s="387">
        <f>SUMIF(數據!$A:$A,$B3,數據!$AF:$AF)</f>
        <v>11660.8</v>
      </c>
      <c r="V3" s="391">
        <f t="shared" ref="V3:V22" si="6">IF(U3&gt;=T3,0,"-500")</f>
        <v>0</v>
      </c>
      <c r="W3" s="392">
        <f>SUMIF('5. 安打紀錄表'!$W:$W,$B3,'5. 安打紀錄表'!$AE:$AE)</f>
        <v>5</v>
      </c>
      <c r="X3" s="387">
        <f>SUMIF(數據!$A:$A,$B3,數據!$T:$T)</f>
        <v>9</v>
      </c>
      <c r="Y3" s="391">
        <f t="shared" ref="Y3:Y19" si="7">IF(X3&gt;=W3,0,"-500")</f>
        <v>0</v>
      </c>
      <c r="Z3" s="392">
        <f>SUMIF('5. 安打紀錄表'!$W:$W,$B3,'5. 安打紀錄表'!$AF:$AF)</f>
        <v>7</v>
      </c>
      <c r="AA3" s="387">
        <f>SUMIF(數據!$A:$A,$B3,數據!$U:$U)</f>
        <v>1</v>
      </c>
      <c r="AB3" s="391" t="str">
        <f t="shared" ref="AB3:AB22" si="8">IF(AA3&gt;=Z3,0,"-500")</f>
        <v>-500</v>
      </c>
      <c r="AC3" s="392">
        <v>5</v>
      </c>
      <c r="AD3" s="387">
        <v>0</v>
      </c>
      <c r="AE3" s="391" t="str">
        <f t="shared" ref="AE3:AE22" si="9">IF(AD3&gt;=AC3,0,"-500")</f>
        <v>-500</v>
      </c>
    </row>
    <row r="4" spans="1:31" ht="26.25" customHeight="1">
      <c r="A4" s="393" t="s">
        <v>17</v>
      </c>
      <c r="B4" s="394" t="s">
        <v>108</v>
      </c>
      <c r="C4" s="395" t="s">
        <v>89</v>
      </c>
      <c r="D4" s="385">
        <f t="shared" si="0"/>
        <v>-2500</v>
      </c>
      <c r="E4" s="396">
        <f>SUMIF('5. 安打紀錄表'!$W:$W,$B4,'5. 安打紀錄表'!$Y:$Y)</f>
        <v>19</v>
      </c>
      <c r="F4" s="387">
        <f>SUMIF(數據!$A:$A,$B4,數據!$V:$V)</f>
        <v>23</v>
      </c>
      <c r="G4" s="388">
        <f t="shared" si="1"/>
        <v>0</v>
      </c>
      <c r="H4" s="396">
        <f>SUMIF('5. 安打紀錄表'!$W:$W,$B4,'5. 安打紀錄表'!$Z:$Z)</f>
        <v>24</v>
      </c>
      <c r="I4" s="387">
        <f>SUMIF(數據!$A:$A,$B4,數據!$W:W)</f>
        <v>1</v>
      </c>
      <c r="J4" s="389" t="str">
        <f t="shared" si="2"/>
        <v>-500</v>
      </c>
      <c r="K4" s="396">
        <f>SUMIF('5. 安打紀錄表'!$W:$W,$B4,'5. 安打紀錄表'!$AA:$AA)</f>
        <v>9</v>
      </c>
      <c r="L4" s="390">
        <f>SUMIF(數據!$A:$A,$B4,數據!$X:$X)</f>
        <v>11.5</v>
      </c>
      <c r="M4" s="391">
        <f t="shared" si="3"/>
        <v>0</v>
      </c>
      <c r="N4" s="396">
        <f>SUMIF('5. 安打紀錄表'!$W:$W,$B4,'5. 安打紀錄表'!$AB:$AB)</f>
        <v>11</v>
      </c>
      <c r="O4" s="390">
        <f>SUMIF(數據!$A:$A,$B4,數據!$Y:$Y)</f>
        <v>1</v>
      </c>
      <c r="P4" s="391" t="str">
        <f t="shared" si="4"/>
        <v>-500</v>
      </c>
      <c r="Q4" s="397">
        <f>SUMIF('5. 安打紀錄表'!$W:$W,$B4,'5. 安打紀錄表'!$AC:$AC)</f>
        <v>9237</v>
      </c>
      <c r="R4" s="387">
        <f>SUMIF(數據!$A:$A,$B4,數據!$AE:$AE)</f>
        <v>9289.02</v>
      </c>
      <c r="S4" s="391">
        <f t="shared" si="5"/>
        <v>0</v>
      </c>
      <c r="T4" s="397">
        <f>SUMIF('5. 安打紀錄表'!$W:$W,$B4,'5. 安打紀錄表'!$AD:$AD)</f>
        <v>11289</v>
      </c>
      <c r="U4" s="387">
        <f>SUMIF(數據!$A:$A,$B4,數據!$AF:$AF)</f>
        <v>7331</v>
      </c>
      <c r="V4" s="391" t="str">
        <f t="shared" si="6"/>
        <v>-500</v>
      </c>
      <c r="W4" s="397">
        <f>SUMIF('5. 安打紀錄表'!$W:$W,$B4,'5. 安打紀錄表'!$AE:$AE)</f>
        <v>5</v>
      </c>
      <c r="X4" s="387">
        <f>SUMIF(數據!$A:$A,$B4,數據!$T:$T)</f>
        <v>10</v>
      </c>
      <c r="Y4" s="391">
        <f t="shared" si="7"/>
        <v>0</v>
      </c>
      <c r="Z4" s="397">
        <f>SUMIF('5. 安打紀錄表'!$W:$W,$B4,'5. 安打紀錄表'!$AF:$AF)</f>
        <v>7</v>
      </c>
      <c r="AA4" s="387">
        <f>SUMIF(數據!$A:$A,$B4,數據!$U:$U)</f>
        <v>1</v>
      </c>
      <c r="AB4" s="391" t="str">
        <f t="shared" si="8"/>
        <v>-500</v>
      </c>
      <c r="AC4" s="392">
        <v>5</v>
      </c>
      <c r="AD4" s="387">
        <v>0</v>
      </c>
      <c r="AE4" s="391" t="str">
        <f t="shared" si="9"/>
        <v>-500</v>
      </c>
    </row>
    <row r="5" spans="1:31" ht="26.25" customHeight="1">
      <c r="A5" s="393" t="s">
        <v>17</v>
      </c>
      <c r="B5" s="394" t="s">
        <v>101</v>
      </c>
      <c r="C5" s="395" t="s">
        <v>100</v>
      </c>
      <c r="D5" s="385">
        <f t="shared" si="0"/>
        <v>-3500</v>
      </c>
      <c r="E5" s="396">
        <f>SUMIF('5. 安打紀錄表'!$W:$W,$B5,'5. 安打紀錄表'!$Y:$Y)</f>
        <v>18</v>
      </c>
      <c r="F5" s="387">
        <f>SUMIF(數據!$A:$A,$B5,數據!$V:$V)</f>
        <v>11</v>
      </c>
      <c r="G5" s="388" t="str">
        <f t="shared" si="1"/>
        <v>-500</v>
      </c>
      <c r="H5" s="396">
        <f>SUMIF('5. 安打紀錄表'!$W:$W,$B5,'5. 安打紀錄表'!$Z:$Z)</f>
        <v>22</v>
      </c>
      <c r="I5" s="387">
        <f>SUMIF(數據!$A:$A,$B5,數據!$W:W)</f>
        <v>2</v>
      </c>
      <c r="J5" s="389" t="str">
        <f t="shared" si="2"/>
        <v>-500</v>
      </c>
      <c r="K5" s="396">
        <f>SUMIF('5. 安打紀錄表'!$W:$W,$B5,'5. 安打紀錄表'!$AA:$AA)</f>
        <v>9</v>
      </c>
      <c r="L5" s="390">
        <f>SUMIF(數據!$A:$A,$B5,數據!$X:$X)</f>
        <v>9.25</v>
      </c>
      <c r="M5" s="391">
        <f t="shared" si="3"/>
        <v>0</v>
      </c>
      <c r="N5" s="396">
        <f>SUMIF('5. 安打紀錄表'!$W:$W,$B5,'5. 安打紀錄表'!$AB:$AB)</f>
        <v>10</v>
      </c>
      <c r="O5" s="390">
        <f>SUMIF(數據!$A:$A,$B5,數據!$Y:$Y)</f>
        <v>1</v>
      </c>
      <c r="P5" s="391" t="str">
        <f t="shared" si="4"/>
        <v>-500</v>
      </c>
      <c r="Q5" s="397">
        <f>SUMIF('5. 安打紀錄表'!$W:$W,$B5,'5. 安打紀錄表'!$AC:$AC)</f>
        <v>9237</v>
      </c>
      <c r="R5" s="387">
        <f>SUMIF(數據!$A:$A,$B5,數據!$AE:$AE)</f>
        <v>2316.36</v>
      </c>
      <c r="S5" s="391" t="str">
        <f t="shared" si="5"/>
        <v>-500</v>
      </c>
      <c r="T5" s="397">
        <f>SUMIF('5. 安打紀錄表'!$W:$W,$B5,'5. 安打紀錄表'!$AD:$AD)</f>
        <v>11289</v>
      </c>
      <c r="U5" s="387">
        <f>SUMIF(數據!$A:$A,$B5,數據!$AF:$AF)</f>
        <v>5684.8</v>
      </c>
      <c r="V5" s="391" t="str">
        <f t="shared" si="6"/>
        <v>-500</v>
      </c>
      <c r="W5" s="397">
        <f>SUMIF('5. 安打紀錄表'!$W:$W,$B5,'5. 安打紀錄表'!$AE:$AE)</f>
        <v>5</v>
      </c>
      <c r="X5" s="387">
        <f>SUMIF(數據!$A:$A,$B5,數據!$T:$T)</f>
        <v>7</v>
      </c>
      <c r="Y5" s="391">
        <f t="shared" si="7"/>
        <v>0</v>
      </c>
      <c r="Z5" s="397">
        <f>SUMIF('5. 安打紀錄表'!$W:$W,$B5,'5. 安打紀錄表'!$AF:$AF)</f>
        <v>6</v>
      </c>
      <c r="AA5" s="387">
        <f>SUMIF(數據!$A:$A,$B5,數據!$U:$U)</f>
        <v>0</v>
      </c>
      <c r="AB5" s="391" t="str">
        <f t="shared" si="8"/>
        <v>-500</v>
      </c>
      <c r="AC5" s="392">
        <v>5</v>
      </c>
      <c r="AD5" s="387">
        <v>0</v>
      </c>
      <c r="AE5" s="391" t="str">
        <f t="shared" si="9"/>
        <v>-500</v>
      </c>
    </row>
    <row r="6" spans="1:31" ht="26.25" customHeight="1">
      <c r="A6" s="393" t="s">
        <v>17</v>
      </c>
      <c r="B6" s="394" t="s">
        <v>106</v>
      </c>
      <c r="C6" s="395" t="s">
        <v>104</v>
      </c>
      <c r="D6" s="385">
        <f t="shared" si="0"/>
        <v>-3500</v>
      </c>
      <c r="E6" s="396">
        <f>SUMIF('5. 安打紀錄表'!$W:$W,$B6,'5. 安打紀錄表'!$Y:$Y)</f>
        <v>16</v>
      </c>
      <c r="F6" s="387">
        <f>SUMIF(數據!$A:$A,$B6,數據!$V:$V)</f>
        <v>13</v>
      </c>
      <c r="G6" s="388" t="str">
        <f t="shared" si="1"/>
        <v>-500</v>
      </c>
      <c r="H6" s="396">
        <f>SUMIF('5. 安打紀錄表'!$W:$W,$B6,'5. 安打紀錄表'!$Z:$Z)</f>
        <v>20</v>
      </c>
      <c r="I6" s="387">
        <f>SUMIF(數據!$A:$A,$B6,數據!$W:W)</f>
        <v>1</v>
      </c>
      <c r="J6" s="389" t="str">
        <f t="shared" si="2"/>
        <v>-500</v>
      </c>
      <c r="K6" s="396">
        <f>SUMIF('5. 安打紀錄表'!$W:$W,$B6,'5. 安打紀錄表'!$AA:$AA)</f>
        <v>7</v>
      </c>
      <c r="L6" s="390">
        <f>SUMIF(數據!$A:$A,$B6,數據!$X:$X)</f>
        <v>9</v>
      </c>
      <c r="M6" s="391">
        <f t="shared" si="3"/>
        <v>0</v>
      </c>
      <c r="N6" s="396">
        <f>SUMIF('5. 安打紀錄表'!$W:$W,$B6,'5. 安打紀錄表'!$AB:$AB)</f>
        <v>9</v>
      </c>
      <c r="O6" s="390">
        <f>SUMIF(數據!$A:$A,$B6,數據!$Y:$Y)</f>
        <v>1</v>
      </c>
      <c r="P6" s="391" t="str">
        <f t="shared" si="4"/>
        <v>-500</v>
      </c>
      <c r="Q6" s="397">
        <f>SUMIF('5. 安打紀錄表'!$W:$W,$B6,'5. 安打紀錄表'!$AC:$AC)</f>
        <v>9237</v>
      </c>
      <c r="R6" s="387">
        <f>SUMIF(數據!$A:$A,$B6,數據!$AE:$AE)</f>
        <v>2617.02</v>
      </c>
      <c r="S6" s="391" t="str">
        <f t="shared" si="5"/>
        <v>-500</v>
      </c>
      <c r="T6" s="397">
        <f>SUMIF('5. 安打紀錄表'!$W:$W,$B6,'5. 安打紀錄表'!$AD:$AD)</f>
        <v>11289</v>
      </c>
      <c r="U6" s="387">
        <f>SUMIF(數據!$A:$A,$B6,數據!$AF:$AF)</f>
        <v>4717</v>
      </c>
      <c r="V6" s="391" t="str">
        <f t="shared" si="6"/>
        <v>-500</v>
      </c>
      <c r="W6" s="397">
        <f>SUMIF('5. 安打紀錄表'!$W:$W,$B6,'5. 安打紀錄表'!$AE:$AE)</f>
        <v>4</v>
      </c>
      <c r="X6" s="387">
        <f>SUMIF(數據!$A:$A,$B6,數據!$T:$T)</f>
        <v>7</v>
      </c>
      <c r="Y6" s="391">
        <f t="shared" si="7"/>
        <v>0</v>
      </c>
      <c r="Z6" s="397">
        <f>SUMIF('5. 安打紀錄表'!$W:$W,$B6,'5. 安打紀錄表'!$AF:$AF)</f>
        <v>5</v>
      </c>
      <c r="AA6" s="387">
        <f>SUMIF(數據!$A:$A,$B6,數據!$U:$U)</f>
        <v>2</v>
      </c>
      <c r="AB6" s="391" t="str">
        <f t="shared" si="8"/>
        <v>-500</v>
      </c>
      <c r="AC6" s="392">
        <v>5</v>
      </c>
      <c r="AD6" s="387">
        <v>0</v>
      </c>
      <c r="AE6" s="391" t="str">
        <f t="shared" si="9"/>
        <v>-500</v>
      </c>
    </row>
    <row r="7" spans="1:31" ht="26.25" customHeight="1">
      <c r="A7" s="393" t="s">
        <v>22</v>
      </c>
      <c r="B7" s="394" t="s">
        <v>23</v>
      </c>
      <c r="C7" s="395" t="s">
        <v>95</v>
      </c>
      <c r="D7" s="385">
        <f t="shared" ref="D7" si="10">G7+J7+M7+P7+S7+V7+Y7+AB7+AE7</f>
        <v>-2500</v>
      </c>
      <c r="E7" s="396">
        <f>SUMIF('5. 安打紀錄表'!$W:$W,$B7,'5. 安打紀錄表'!$Y:$Y)</f>
        <v>16</v>
      </c>
      <c r="F7" s="387">
        <f>SUMIF(數據!$A:$A,$B7,數據!$V:$V)</f>
        <v>19</v>
      </c>
      <c r="G7" s="388">
        <f t="shared" ref="G7" si="11">IF(F7&gt;=E7,0,"-500")</f>
        <v>0</v>
      </c>
      <c r="H7" s="396">
        <f>SUMIF('5. 安打紀錄表'!$W:$W,$B7,'5. 安打紀錄表'!$Z:$Z)</f>
        <v>19</v>
      </c>
      <c r="I7" s="387">
        <f>SUMIF(數據!$A:$A,$B7,數據!$W:W)</f>
        <v>3</v>
      </c>
      <c r="J7" s="389" t="str">
        <f t="shared" ref="J7" si="12">IF(I7&gt;=H7,0,"-500")</f>
        <v>-500</v>
      </c>
      <c r="K7" s="396">
        <f>SUMIF('5. 安打紀錄表'!$W:$W,$B7,'5. 安打紀錄表'!$AA:$AA)</f>
        <v>7</v>
      </c>
      <c r="L7" s="390">
        <f>SUMIF(數據!$A:$A,$B7,數據!$X:$X)</f>
        <v>8</v>
      </c>
      <c r="M7" s="391">
        <f t="shared" ref="M7" si="13">IF(L7&gt;=K7,0,"-500")</f>
        <v>0</v>
      </c>
      <c r="N7" s="396">
        <f>SUMIF('5. 安打紀錄表'!$W:$W,$B7,'5. 安打紀錄表'!$AB:$AB)</f>
        <v>9</v>
      </c>
      <c r="O7" s="390">
        <f>SUMIF(數據!$A:$A,$B7,數據!$Y:$Y)</f>
        <v>1</v>
      </c>
      <c r="P7" s="391" t="str">
        <f t="shared" ref="P7" si="14">IF(O7&gt;=N7,0,"-500")</f>
        <v>-500</v>
      </c>
      <c r="Q7" s="397">
        <f>SUMIF('5. 安打紀錄表'!$W:$W,$B7,'5. 安打紀錄表'!$AC:$AC)</f>
        <v>9237</v>
      </c>
      <c r="R7" s="387">
        <f>SUMIF(數據!$A:$A,$B7,數據!$AE:$AE)</f>
        <v>4060</v>
      </c>
      <c r="S7" s="391" t="str">
        <f t="shared" ref="S7" si="15">IF(R7&gt;=Q7,0,"-500")</f>
        <v>-500</v>
      </c>
      <c r="T7" s="397">
        <f>SUMIF('5. 安打紀錄表'!$W:$W,$B7,'5. 安打紀錄表'!$AD:$AD)</f>
        <v>11289</v>
      </c>
      <c r="U7" s="387">
        <f>SUMIF(數據!$A:$A,$B7,數據!$AF:$AF)</f>
        <v>13509.91</v>
      </c>
      <c r="V7" s="391">
        <f t="shared" ref="V7" si="16">IF(U7&gt;=T7,0,"-500")</f>
        <v>0</v>
      </c>
      <c r="W7" s="397">
        <f>SUMIF('5. 安打紀錄表'!$W:$W,$B7,'5. 安打紀錄表'!$AE:$AE)</f>
        <v>5</v>
      </c>
      <c r="X7" s="387">
        <f>SUMIF(數據!$A:$A,$B7,數據!$T:$T)</f>
        <v>6</v>
      </c>
      <c r="Y7" s="391">
        <f>IF(X7&gt;=W7,0,"-500")</f>
        <v>0</v>
      </c>
      <c r="Z7" s="397">
        <f>SUMIF('5. 安打紀錄表'!$W:$W,$B7,'5. 安打紀錄表'!$AF:$AF)</f>
        <v>5</v>
      </c>
      <c r="AA7" s="387">
        <f>SUMIF(數據!$A:$A,$B7,數據!$U:$U)</f>
        <v>0</v>
      </c>
      <c r="AB7" s="391" t="str">
        <f t="shared" ref="AB7" si="17">IF(AA7&gt;=Z7,0,"-500")</f>
        <v>-500</v>
      </c>
      <c r="AC7" s="392">
        <v>5</v>
      </c>
      <c r="AD7" s="387">
        <v>0</v>
      </c>
      <c r="AE7" s="391" t="str">
        <f t="shared" ref="AE7" si="18">IF(AD7&gt;=AC7,0,"-500")</f>
        <v>-500</v>
      </c>
    </row>
    <row r="8" spans="1:31" ht="26.25" customHeight="1">
      <c r="A8" s="393" t="s">
        <v>18</v>
      </c>
      <c r="B8" s="394" t="s">
        <v>97</v>
      </c>
      <c r="C8" s="395" t="s">
        <v>89</v>
      </c>
      <c r="D8" s="385">
        <f t="shared" si="0"/>
        <v>-4500</v>
      </c>
      <c r="E8" s="396">
        <f>SUMIF('5. 安打紀錄表'!$W:$W,$B8,'5. 安打紀錄表'!$Y:$Y)</f>
        <v>20</v>
      </c>
      <c r="F8" s="387">
        <f>SUMIF(數據!$A:$A,$B8,數據!$V:$V)</f>
        <v>11</v>
      </c>
      <c r="G8" s="388" t="str">
        <f t="shared" si="1"/>
        <v>-500</v>
      </c>
      <c r="H8" s="396">
        <f>SUMIF('5. 安打紀錄表'!$W:$W,$B8,'5. 安打紀錄表'!$Z:$Z)</f>
        <v>24</v>
      </c>
      <c r="I8" s="387">
        <f>SUMIF(數據!$A:$A,$B8,數據!$W:W)</f>
        <v>2</v>
      </c>
      <c r="J8" s="389" t="str">
        <f t="shared" si="2"/>
        <v>-500</v>
      </c>
      <c r="K8" s="396">
        <f>SUMIF('5. 安打紀錄表'!$W:$W,$B8,'5. 安打紀錄表'!$AA:$AA)</f>
        <v>9</v>
      </c>
      <c r="L8" s="390">
        <f>SUMIF(數據!$A:$A,$B8,數據!$X:$X)</f>
        <v>4</v>
      </c>
      <c r="M8" s="391" t="str">
        <f t="shared" si="3"/>
        <v>-500</v>
      </c>
      <c r="N8" s="396">
        <f>SUMIF('5. 安打紀錄表'!$W:$W,$B8,'5. 安打紀錄表'!$AB:$AB)</f>
        <v>12</v>
      </c>
      <c r="O8" s="390">
        <f>SUMIF(數據!$A:$A,$B8,數據!$Y:$Y)</f>
        <v>0</v>
      </c>
      <c r="P8" s="391" t="str">
        <f t="shared" si="4"/>
        <v>-500</v>
      </c>
      <c r="Q8" s="397">
        <f>SUMIF('5. 安打紀錄表'!$W:$W,$B8,'5. 安打紀錄表'!$AC:$AC)</f>
        <v>9237</v>
      </c>
      <c r="R8" s="387">
        <f>SUMIF(數據!$A:$A,$B8,數據!$AE:$AE)</f>
        <v>2109.8000000000002</v>
      </c>
      <c r="S8" s="391" t="str">
        <f t="shared" si="5"/>
        <v>-500</v>
      </c>
      <c r="T8" s="397">
        <f>SUMIF('5. 安打紀錄表'!$W:$W,$B8,'5. 安打紀錄表'!$AD:$AD)</f>
        <v>11289</v>
      </c>
      <c r="U8" s="387">
        <f>SUMIF(數據!$A:$A,$B8,數據!$AF:$AF)</f>
        <v>4816</v>
      </c>
      <c r="V8" s="391" t="str">
        <f t="shared" si="6"/>
        <v>-500</v>
      </c>
      <c r="W8" s="397">
        <f>SUMIF('5. 安打紀錄表'!$W:$W,$B8,'5. 安打紀錄表'!$AE:$AE)</f>
        <v>6</v>
      </c>
      <c r="X8" s="387">
        <f>SUMIF(數據!$A:$A,$B8,數據!$T:$T)</f>
        <v>3</v>
      </c>
      <c r="Y8" s="391" t="str">
        <f t="shared" si="7"/>
        <v>-500</v>
      </c>
      <c r="Z8" s="397">
        <f>SUMIF('5. 安打紀錄表'!$W:$W,$B8,'5. 安打紀錄表'!$AF:$AF)</f>
        <v>8</v>
      </c>
      <c r="AA8" s="387">
        <f>SUMIF(數據!$A:$A,$B8,數據!$U:$U)</f>
        <v>0</v>
      </c>
      <c r="AB8" s="391" t="str">
        <f t="shared" si="8"/>
        <v>-500</v>
      </c>
      <c r="AC8" s="392">
        <v>5</v>
      </c>
      <c r="AD8" s="387">
        <v>0</v>
      </c>
      <c r="AE8" s="391" t="str">
        <f t="shared" si="9"/>
        <v>-500</v>
      </c>
    </row>
    <row r="9" spans="1:31" ht="26.25" customHeight="1">
      <c r="A9" s="393" t="s">
        <v>18</v>
      </c>
      <c r="B9" s="394" t="s">
        <v>98</v>
      </c>
      <c r="C9" s="395" t="s">
        <v>89</v>
      </c>
      <c r="D9" s="385">
        <f t="shared" si="0"/>
        <v>-3500</v>
      </c>
      <c r="E9" s="396">
        <f>SUMIF('5. 安打紀錄表'!$W:$W,$B9,'5. 安打紀錄表'!$Y:$Y)</f>
        <v>20</v>
      </c>
      <c r="F9" s="387">
        <f>SUMIF(數據!$A:$A,$B9,數據!$V:$V)</f>
        <v>16</v>
      </c>
      <c r="G9" s="388" t="str">
        <f t="shared" si="1"/>
        <v>-500</v>
      </c>
      <c r="H9" s="396">
        <f>SUMIF('5. 安打紀錄表'!$W:$W,$B9,'5. 安打紀錄表'!$Z:$Z)</f>
        <v>24</v>
      </c>
      <c r="I9" s="387">
        <f>SUMIF(數據!$A:$A,$B9,數據!$W:W)</f>
        <v>4</v>
      </c>
      <c r="J9" s="389" t="str">
        <f t="shared" si="2"/>
        <v>-500</v>
      </c>
      <c r="K9" s="396">
        <f>SUMIF('5. 安打紀錄表'!$W:$W,$B9,'5. 安打紀錄表'!$AA:$AA)</f>
        <v>9</v>
      </c>
      <c r="L9" s="390">
        <f>SUMIF(數據!$A:$A,$B9,數據!$X:$X)</f>
        <v>10</v>
      </c>
      <c r="M9" s="391">
        <f t="shared" si="3"/>
        <v>0</v>
      </c>
      <c r="N9" s="396">
        <f>SUMIF('5. 安打紀錄表'!$W:$W,$B9,'5. 安打紀錄表'!$AB:$AB)</f>
        <v>11</v>
      </c>
      <c r="O9" s="390">
        <f>SUMIF(數據!$A:$A,$B9,數據!$Y:$Y)</f>
        <v>2</v>
      </c>
      <c r="P9" s="391" t="str">
        <f t="shared" si="4"/>
        <v>-500</v>
      </c>
      <c r="Q9" s="397">
        <f>SUMIF('5. 安打紀錄表'!$W:$W,$B9,'5. 安打紀錄表'!$AC:$AC)</f>
        <v>9237</v>
      </c>
      <c r="R9" s="387">
        <f>SUMIF(數據!$A:$A,$B9,數據!$AE:$AE)</f>
        <v>7657</v>
      </c>
      <c r="S9" s="391" t="str">
        <f t="shared" si="5"/>
        <v>-500</v>
      </c>
      <c r="T9" s="397">
        <f>SUMIF('5. 安打紀錄表'!$W:$W,$B9,'5. 安打紀錄表'!$AD:$AD)</f>
        <v>11289</v>
      </c>
      <c r="U9" s="387">
        <f>SUMIF(數據!$A:$A,$B9,數據!$AF:$AF)</f>
        <v>5358.8</v>
      </c>
      <c r="V9" s="391" t="str">
        <f t="shared" si="6"/>
        <v>-500</v>
      </c>
      <c r="W9" s="397">
        <f>SUMIF('5. 安打紀錄表'!$W:$W,$B9,'5. 安打紀錄表'!$AE:$AE)</f>
        <v>6</v>
      </c>
      <c r="X9" s="387">
        <f>SUMIF(數據!$A:$A,$B9,數據!$T:$T)</f>
        <v>10</v>
      </c>
      <c r="Y9" s="391">
        <f t="shared" si="7"/>
        <v>0</v>
      </c>
      <c r="Z9" s="397">
        <f>SUMIF('5. 安打紀錄表'!$W:$W,$B9,'5. 安打紀錄表'!$AF:$AF)</f>
        <v>7</v>
      </c>
      <c r="AA9" s="387">
        <f>SUMIF(數據!$A:$A,$B9,數據!$U:$U)</f>
        <v>2</v>
      </c>
      <c r="AB9" s="391" t="str">
        <f t="shared" si="8"/>
        <v>-500</v>
      </c>
      <c r="AC9" s="392">
        <v>5</v>
      </c>
      <c r="AD9" s="387">
        <v>0</v>
      </c>
      <c r="AE9" s="391" t="str">
        <f t="shared" si="9"/>
        <v>-500</v>
      </c>
    </row>
    <row r="10" spans="1:31" ht="26.25" customHeight="1">
      <c r="A10" s="393" t="s">
        <v>18</v>
      </c>
      <c r="B10" s="394" t="s">
        <v>110</v>
      </c>
      <c r="C10" s="395" t="s">
        <v>104</v>
      </c>
      <c r="D10" s="385">
        <f t="shared" si="0"/>
        <v>-4000</v>
      </c>
      <c r="E10" s="396">
        <f>SUMIF('5. 安打紀錄表'!$W:$W,$B10,'5. 安打紀錄表'!$Y:$Y)</f>
        <v>16</v>
      </c>
      <c r="F10" s="387">
        <f>SUMIF(數據!$A:$A,$B10,數據!$V:$V)</f>
        <v>11</v>
      </c>
      <c r="G10" s="388" t="str">
        <f t="shared" si="1"/>
        <v>-500</v>
      </c>
      <c r="H10" s="396">
        <f>SUMIF('5. 安打紀錄表'!$W:$W,$B10,'5. 安打紀錄表'!$Z:$Z)</f>
        <v>20</v>
      </c>
      <c r="I10" s="387">
        <f>SUMIF(數據!$A:$A,$B10,數據!$W:W)</f>
        <v>2</v>
      </c>
      <c r="J10" s="398" t="str">
        <f t="shared" si="2"/>
        <v>-500</v>
      </c>
      <c r="K10" s="396">
        <f>SUMIF('5. 安打紀錄表'!$W:$W,$B10,'5. 安打紀錄表'!$AA:$AA)</f>
        <v>8</v>
      </c>
      <c r="L10" s="390">
        <f>SUMIF(數據!$A:$A,$B10,數據!$X:$X)</f>
        <v>5.5</v>
      </c>
      <c r="M10" s="391" t="str">
        <f t="shared" si="3"/>
        <v>-500</v>
      </c>
      <c r="N10" s="396">
        <f>SUMIF('5. 安打紀錄表'!$W:$W,$B10,'5. 安打紀錄表'!$AB:$AB)</f>
        <v>9</v>
      </c>
      <c r="O10" s="390">
        <f>SUMIF(數據!$A:$A,$B10,數據!$Y:$Y)</f>
        <v>1</v>
      </c>
      <c r="P10" s="391" t="str">
        <f t="shared" si="4"/>
        <v>-500</v>
      </c>
      <c r="Q10" s="397">
        <f>SUMIF('5. 安打紀錄表'!$W:$W,$B10,'5. 安打紀錄表'!$AC:$AC)</f>
        <v>9237</v>
      </c>
      <c r="R10" s="387">
        <f>SUMIF(數據!$A:$A,$B10,數據!$AE:$AE)</f>
        <v>1837</v>
      </c>
      <c r="S10" s="391" t="str">
        <f t="shared" si="5"/>
        <v>-500</v>
      </c>
      <c r="T10" s="397">
        <f>SUMIF('5. 安打紀錄表'!$W:$W,$B10,'5. 安打紀錄表'!$AD:$AD)</f>
        <v>11289</v>
      </c>
      <c r="U10" s="387">
        <f>SUMIF(數據!$A:$A,$B10,數據!$AF:$AF)</f>
        <v>2463</v>
      </c>
      <c r="V10" s="391" t="str">
        <f t="shared" si="6"/>
        <v>-500</v>
      </c>
      <c r="W10" s="397">
        <f>SUMIF('5. 安打紀錄表'!$W:$W,$B10,'5. 安打紀錄表'!$AE:$AE)</f>
        <v>5</v>
      </c>
      <c r="X10" s="387">
        <f>SUMIF(數據!$A:$A,$B10,數據!$T:$T)</f>
        <v>6</v>
      </c>
      <c r="Y10" s="391">
        <f t="shared" si="7"/>
        <v>0</v>
      </c>
      <c r="Z10" s="397">
        <f>SUMIF('5. 安打紀錄表'!$W:$W,$B10,'5. 安打紀錄表'!$AF:$AF)</f>
        <v>6</v>
      </c>
      <c r="AA10" s="387">
        <f>SUMIF(數據!$A:$A,$B10,數據!$U:$U)</f>
        <v>0</v>
      </c>
      <c r="AB10" s="391" t="str">
        <f t="shared" si="8"/>
        <v>-500</v>
      </c>
      <c r="AC10" s="392">
        <v>5</v>
      </c>
      <c r="AD10" s="387">
        <v>0</v>
      </c>
      <c r="AE10" s="391" t="str">
        <f t="shared" si="9"/>
        <v>-500</v>
      </c>
    </row>
    <row r="11" spans="1:31" ht="26.25" customHeight="1">
      <c r="A11" s="393" t="s">
        <v>19</v>
      </c>
      <c r="B11" s="394" t="s">
        <v>99</v>
      </c>
      <c r="C11" s="395" t="s">
        <v>100</v>
      </c>
      <c r="D11" s="385">
        <f t="shared" si="0"/>
        <v>-4000</v>
      </c>
      <c r="E11" s="396">
        <f>SUMIF('5. 安打紀錄表'!$W:$W,$B11,'5. 安打紀錄表'!$Y:$Y)</f>
        <v>18</v>
      </c>
      <c r="F11" s="387">
        <f>SUMIF(數據!$A:$A,$B11,數據!$V:$V)</f>
        <v>14</v>
      </c>
      <c r="G11" s="388" t="str">
        <f t="shared" si="1"/>
        <v>-500</v>
      </c>
      <c r="H11" s="396">
        <f>SUMIF('5. 安打紀錄表'!$W:$W,$B11,'5. 安打紀錄表'!$Z:$Z)</f>
        <v>21</v>
      </c>
      <c r="I11" s="387">
        <f>SUMIF(數據!$A:$A,$B11,數據!$W:W)</f>
        <v>3</v>
      </c>
      <c r="J11" s="389" t="str">
        <f t="shared" si="2"/>
        <v>-500</v>
      </c>
      <c r="K11" s="396">
        <f>SUMIF('5. 安打紀錄表'!$W:$W,$B11,'5. 安打紀錄表'!$AA:$AA)</f>
        <v>8</v>
      </c>
      <c r="L11" s="390">
        <f>SUMIF(數據!$A:$A,$B11,數據!$X:$X)</f>
        <v>7</v>
      </c>
      <c r="M11" s="391" t="str">
        <f t="shared" si="3"/>
        <v>-500</v>
      </c>
      <c r="N11" s="396">
        <f>SUMIF('5. 安打紀錄表'!$W:$W,$B11,'5. 安打紀錄表'!$AB:$AB)</f>
        <v>10</v>
      </c>
      <c r="O11" s="390">
        <f>SUMIF(數據!$A:$A,$B11,數據!$Y:$Y)</f>
        <v>1</v>
      </c>
      <c r="P11" s="391" t="str">
        <f t="shared" si="4"/>
        <v>-500</v>
      </c>
      <c r="Q11" s="397">
        <f>SUMIF('5. 安打紀錄表'!$W:$W,$B11,'5. 安打紀錄表'!$AC:$AC)</f>
        <v>9237</v>
      </c>
      <c r="R11" s="387">
        <f>SUMIF(數據!$A:$A,$B11,數據!$AE:$AE)</f>
        <v>4585</v>
      </c>
      <c r="S11" s="391" t="str">
        <f t="shared" si="5"/>
        <v>-500</v>
      </c>
      <c r="T11" s="397">
        <f>SUMIF('5. 安打紀錄表'!$W:$W,$B11,'5. 安打紀錄表'!$AD:$AD)</f>
        <v>11289</v>
      </c>
      <c r="U11" s="387">
        <f>SUMIF(數據!$A:$A,$B11,數據!$AF:$AF)</f>
        <v>9406</v>
      </c>
      <c r="V11" s="391" t="str">
        <f t="shared" si="6"/>
        <v>-500</v>
      </c>
      <c r="W11" s="397">
        <f>SUMIF('5. 安打紀錄表'!$W:$W,$B11,'5. 安打紀錄表'!$AE:$AE)</f>
        <v>5</v>
      </c>
      <c r="X11" s="387">
        <f>SUMIF(數據!$A:$A,$B11,數據!$T:$T)</f>
        <v>9</v>
      </c>
      <c r="Y11" s="391">
        <f t="shared" si="7"/>
        <v>0</v>
      </c>
      <c r="Z11" s="397">
        <f>SUMIF('5. 安打紀錄表'!$W:$W,$B11,'5. 安打紀錄表'!$AF:$AF)</f>
        <v>6</v>
      </c>
      <c r="AA11" s="387">
        <f>SUMIF(數據!$A:$A,$B11,數據!$U:$U)</f>
        <v>0</v>
      </c>
      <c r="AB11" s="391" t="str">
        <f t="shared" si="8"/>
        <v>-500</v>
      </c>
      <c r="AC11" s="392">
        <v>5</v>
      </c>
      <c r="AD11" s="387">
        <v>0</v>
      </c>
      <c r="AE11" s="391" t="str">
        <f t="shared" si="9"/>
        <v>-500</v>
      </c>
    </row>
    <row r="12" spans="1:31" ht="26.25" customHeight="1">
      <c r="A12" s="393" t="s">
        <v>19</v>
      </c>
      <c r="B12" s="394" t="s">
        <v>88</v>
      </c>
      <c r="C12" s="395" t="s">
        <v>89</v>
      </c>
      <c r="D12" s="385">
        <f t="shared" si="0"/>
        <v>-2500</v>
      </c>
      <c r="E12" s="396">
        <f>SUMIF('5. 安打紀錄表'!$W:$W,$B12,'5. 安打紀錄表'!$Y:$Y)</f>
        <v>23</v>
      </c>
      <c r="F12" s="387">
        <f>SUMIF(數據!$A:$A,$B12,數據!$V:$V)</f>
        <v>24</v>
      </c>
      <c r="G12" s="388">
        <f t="shared" si="1"/>
        <v>0</v>
      </c>
      <c r="H12" s="396">
        <f>SUMIF('5. 安打紀錄表'!$W:$W,$B12,'5. 安打紀錄表'!$Z:$Z)</f>
        <v>27</v>
      </c>
      <c r="I12" s="387">
        <f>SUMIF(數據!$A:$A,$B12,數據!$W:W)</f>
        <v>0</v>
      </c>
      <c r="J12" s="389" t="str">
        <f t="shared" si="2"/>
        <v>-500</v>
      </c>
      <c r="K12" s="396">
        <f>SUMIF('5. 安打紀錄表'!$W:$W,$B12,'5. 安打紀錄表'!$AA:$AA)</f>
        <v>10</v>
      </c>
      <c r="L12" s="390">
        <f>SUMIF(數據!$A:$A,$B12,數據!$X:$X)</f>
        <v>12</v>
      </c>
      <c r="M12" s="391">
        <f t="shared" si="3"/>
        <v>0</v>
      </c>
      <c r="N12" s="396">
        <f>SUMIF('5. 安打紀錄表'!$W:$W,$B12,'5. 安打紀錄表'!$AB:$AB)</f>
        <v>13</v>
      </c>
      <c r="O12" s="390">
        <f>SUMIF(數據!$A:$A,$B12,數據!$Y:$Y)</f>
        <v>0</v>
      </c>
      <c r="P12" s="391" t="str">
        <f t="shared" si="4"/>
        <v>-500</v>
      </c>
      <c r="Q12" s="397">
        <f>SUMIF('5. 安打紀錄表'!$W:$W,$B12,'5. 安打紀錄表'!$AC:$AC)</f>
        <v>9237</v>
      </c>
      <c r="R12" s="387">
        <f>SUMIF(數據!$A:$A,$B12,數據!$AE:$AE)</f>
        <v>12566</v>
      </c>
      <c r="S12" s="391">
        <f t="shared" si="5"/>
        <v>0</v>
      </c>
      <c r="T12" s="397">
        <f>SUMIF('5. 安打紀錄表'!$W:$W,$B12,'5. 安打紀錄表'!$AD:$AD)</f>
        <v>11289</v>
      </c>
      <c r="U12" s="387">
        <f>SUMIF(數據!$A:$A,$B12,數據!$AF:$AF)</f>
        <v>9171.7999999999993</v>
      </c>
      <c r="V12" s="391" t="str">
        <f t="shared" si="6"/>
        <v>-500</v>
      </c>
      <c r="W12" s="397">
        <f>SUMIF('5. 安打紀錄表'!$W:$W,$B12,'5. 安打紀錄表'!$AE:$AE)</f>
        <v>7</v>
      </c>
      <c r="X12" s="387">
        <f>SUMIF(數據!$A:$A,$B12,數據!$T:$T)</f>
        <v>8</v>
      </c>
      <c r="Y12" s="391">
        <f t="shared" si="7"/>
        <v>0</v>
      </c>
      <c r="Z12" s="397">
        <f>SUMIF('5. 安打紀錄表'!$W:$W,$B12,'5. 安打紀錄表'!$AF:$AF)</f>
        <v>8</v>
      </c>
      <c r="AA12" s="387">
        <f>SUMIF(數據!$A:$A,$B12,數據!$U:$U)</f>
        <v>0</v>
      </c>
      <c r="AB12" s="391" t="str">
        <f t="shared" si="8"/>
        <v>-500</v>
      </c>
      <c r="AC12" s="392">
        <v>5</v>
      </c>
      <c r="AD12" s="387">
        <v>0</v>
      </c>
      <c r="AE12" s="391" t="str">
        <f t="shared" si="9"/>
        <v>-500</v>
      </c>
    </row>
    <row r="13" spans="1:31" ht="26.25" customHeight="1">
      <c r="A13" s="393" t="s">
        <v>19</v>
      </c>
      <c r="B13" s="394" t="s">
        <v>107</v>
      </c>
      <c r="C13" s="395" t="s">
        <v>104</v>
      </c>
      <c r="D13" s="385">
        <f t="shared" si="0"/>
        <v>-4500</v>
      </c>
      <c r="E13" s="396">
        <f>SUMIF('5. 安打紀錄表'!$W:$W,$B13,'5. 安打紀錄表'!$Y:$Y)</f>
        <v>15</v>
      </c>
      <c r="F13" s="387">
        <f>SUMIF(數據!$A:$A,$B13,數據!$V:$V)</f>
        <v>8</v>
      </c>
      <c r="G13" s="388" t="str">
        <f t="shared" si="1"/>
        <v>-500</v>
      </c>
      <c r="H13" s="396">
        <f>SUMIF('5. 安打紀錄表'!$W:$W,$B13,'5. 安打紀錄表'!$Z:$Z)</f>
        <v>19</v>
      </c>
      <c r="I13" s="387">
        <f>SUMIF(數據!$A:$A,$B13,數據!$W:W)</f>
        <v>1</v>
      </c>
      <c r="J13" s="389" t="str">
        <f t="shared" si="2"/>
        <v>-500</v>
      </c>
      <c r="K13" s="396">
        <f>SUMIF('5. 安打紀錄表'!$W:$W,$B13,'5. 安打紀錄表'!$AA:$AA)</f>
        <v>7</v>
      </c>
      <c r="L13" s="390">
        <f>SUMIF(數據!$A:$A,$B13,數據!$X:$X)</f>
        <v>5</v>
      </c>
      <c r="M13" s="391" t="str">
        <f t="shared" si="3"/>
        <v>-500</v>
      </c>
      <c r="N13" s="396">
        <f>SUMIF('5. 安打紀錄表'!$W:$W,$B13,'5. 安打紀錄表'!$AB:$AB)</f>
        <v>9</v>
      </c>
      <c r="O13" s="390">
        <f>SUMIF(數據!$A:$A,$B13,數據!$Y:$Y)</f>
        <v>2</v>
      </c>
      <c r="P13" s="391" t="str">
        <f t="shared" si="4"/>
        <v>-500</v>
      </c>
      <c r="Q13" s="397">
        <f>SUMIF('5. 安打紀錄表'!$W:$W,$B13,'5. 安打紀錄表'!$AC:$AC)</f>
        <v>9237</v>
      </c>
      <c r="R13" s="387">
        <f>SUMIF(數據!$A:$A,$B13,數據!$AE:$AE)</f>
        <v>2877.73</v>
      </c>
      <c r="S13" s="391" t="str">
        <f t="shared" si="5"/>
        <v>-500</v>
      </c>
      <c r="T13" s="397">
        <f>SUMIF('5. 安打紀錄表'!$W:$W,$B13,'5. 安打紀錄表'!$AD:$AD)</f>
        <v>11289</v>
      </c>
      <c r="U13" s="387">
        <f>SUMIF(數據!$A:$A,$B13,數據!$AF:$AF)</f>
        <v>4882</v>
      </c>
      <c r="V13" s="391" t="str">
        <f t="shared" si="6"/>
        <v>-500</v>
      </c>
      <c r="W13" s="397">
        <f>SUMIF('5. 安打紀錄表'!$W:$W,$B13,'5. 安打紀錄表'!$AE:$AE)</f>
        <v>5</v>
      </c>
      <c r="X13" s="387">
        <f>SUMIF(數據!$A:$A,$B13,數據!$T:$T)</f>
        <v>3</v>
      </c>
      <c r="Y13" s="391" t="str">
        <f t="shared" si="7"/>
        <v>-500</v>
      </c>
      <c r="Z13" s="397">
        <f>SUMIF('5. 安打紀錄表'!$W:$W,$B13,'5. 安打紀錄表'!$AF:$AF)</f>
        <v>5</v>
      </c>
      <c r="AA13" s="387">
        <f>SUMIF(數據!$A:$A,$B13,數據!$U:$U)</f>
        <v>1</v>
      </c>
      <c r="AB13" s="391" t="str">
        <f t="shared" si="8"/>
        <v>-500</v>
      </c>
      <c r="AC13" s="392">
        <v>5</v>
      </c>
      <c r="AD13" s="387">
        <v>0</v>
      </c>
      <c r="AE13" s="391" t="str">
        <f t="shared" si="9"/>
        <v>-500</v>
      </c>
    </row>
    <row r="14" spans="1:31" ht="26.25" customHeight="1">
      <c r="A14" s="393" t="s">
        <v>20</v>
      </c>
      <c r="B14" s="394" t="s">
        <v>93</v>
      </c>
      <c r="C14" s="395" t="s">
        <v>91</v>
      </c>
      <c r="D14" s="385">
        <f t="shared" si="0"/>
        <v>-3500</v>
      </c>
      <c r="E14" s="396">
        <f>SUMIF('5. 安打紀錄表'!$W:$W,$B14,'5. 安打紀錄表'!$Y:$Y)</f>
        <v>24</v>
      </c>
      <c r="F14" s="387">
        <f>SUMIF(數據!$A:$A,$B14,數據!$V:$V)</f>
        <v>24</v>
      </c>
      <c r="G14" s="388">
        <f t="shared" si="1"/>
        <v>0</v>
      </c>
      <c r="H14" s="396">
        <f>SUMIF('5. 安打紀錄表'!$W:$W,$B14,'5. 安打紀錄表'!$Z:$Z)</f>
        <v>29</v>
      </c>
      <c r="I14" s="387">
        <f>SUMIF(數據!$A:$A,$B14,數據!$W:W)</f>
        <v>0</v>
      </c>
      <c r="J14" s="389" t="str">
        <f t="shared" si="2"/>
        <v>-500</v>
      </c>
      <c r="K14" s="396">
        <f>SUMIF('5. 安打紀錄表'!$W:$W,$B14,'5. 安打紀錄表'!$AA:$AA)</f>
        <v>11</v>
      </c>
      <c r="L14" s="390">
        <f>SUMIF(數據!$A:$A,$B14,數據!$X:$X)</f>
        <v>5.5</v>
      </c>
      <c r="M14" s="391" t="str">
        <f t="shared" si="3"/>
        <v>-500</v>
      </c>
      <c r="N14" s="396">
        <f>SUMIF('5. 安打紀錄表'!$W:$W,$B14,'5. 安打紀錄表'!$AB:$AB)</f>
        <v>13</v>
      </c>
      <c r="O14" s="390">
        <f>SUMIF(數據!$A:$A,$B14,數據!$Y:$Y)</f>
        <v>0</v>
      </c>
      <c r="P14" s="391" t="str">
        <f t="shared" si="4"/>
        <v>-500</v>
      </c>
      <c r="Q14" s="397">
        <f>SUMIF('5. 安打紀錄表'!$W:$W,$B14,'5. 安打紀錄表'!$AC:$AC)</f>
        <v>9237</v>
      </c>
      <c r="R14" s="387">
        <f>SUMIF(數據!$A:$A,$B14,數據!$AE:$AE)</f>
        <v>4960.16</v>
      </c>
      <c r="S14" s="391" t="str">
        <f t="shared" si="5"/>
        <v>-500</v>
      </c>
      <c r="T14" s="397">
        <f>SUMIF('5. 安打紀錄表'!$W:$W,$B14,'5. 安打紀錄表'!$AD:$AD)</f>
        <v>11289</v>
      </c>
      <c r="U14" s="387">
        <f>SUMIF(數據!$A:$A,$B14,數據!$AF:$AF)</f>
        <v>10107.799999999999</v>
      </c>
      <c r="V14" s="391" t="str">
        <f t="shared" si="6"/>
        <v>-500</v>
      </c>
      <c r="W14" s="397">
        <f>SUMIF('5. 安打紀錄表'!$W:$W,$B14,'5. 安打紀錄表'!$AE:$AE)</f>
        <v>6</v>
      </c>
      <c r="X14" s="387">
        <f>SUMIF(數據!$A:$A,$B14,數據!$T:$T)</f>
        <v>8</v>
      </c>
      <c r="Y14" s="391">
        <f t="shared" si="7"/>
        <v>0</v>
      </c>
      <c r="Z14" s="397">
        <f>SUMIF('5. 安打紀錄表'!$W:$W,$B14,'5. 安打紀錄表'!$AF:$AF)</f>
        <v>7</v>
      </c>
      <c r="AA14" s="387">
        <f>SUMIF(數據!$A:$A,$B14,數據!$U:$U)</f>
        <v>0</v>
      </c>
      <c r="AB14" s="391" t="str">
        <f t="shared" si="8"/>
        <v>-500</v>
      </c>
      <c r="AC14" s="392">
        <v>5</v>
      </c>
      <c r="AD14" s="387">
        <v>0</v>
      </c>
      <c r="AE14" s="391" t="str">
        <f t="shared" si="9"/>
        <v>-500</v>
      </c>
    </row>
    <row r="15" spans="1:31" ht="26.25" customHeight="1">
      <c r="A15" s="393" t="s">
        <v>20</v>
      </c>
      <c r="B15" s="394" t="s">
        <v>105</v>
      </c>
      <c r="C15" s="395" t="s">
        <v>100</v>
      </c>
      <c r="D15" s="385">
        <f t="shared" si="0"/>
        <v>-3500</v>
      </c>
      <c r="E15" s="396">
        <f>SUMIF('5. 安打紀錄表'!$W:$W,$B15,'5. 安打紀錄表'!$Y:$Y)</f>
        <v>26</v>
      </c>
      <c r="F15" s="387">
        <f>SUMIF(數據!$A:$A,$B15,數據!$V:$V)</f>
        <v>16</v>
      </c>
      <c r="G15" s="388" t="str">
        <f t="shared" si="1"/>
        <v>-500</v>
      </c>
      <c r="H15" s="396">
        <f>SUMIF('5. 安打紀錄表'!$W:$W,$B15,'5. 安打紀錄表'!$Z:$Z)</f>
        <v>32</v>
      </c>
      <c r="I15" s="387">
        <f>SUMIF(數據!$A:$A,$B15,數據!$W:W)</f>
        <v>0</v>
      </c>
      <c r="J15" s="389" t="str">
        <f t="shared" si="2"/>
        <v>-500</v>
      </c>
      <c r="K15" s="396">
        <f>SUMIF('5. 安打紀錄表'!$W:$W,$B15,'5. 安打紀錄表'!$AA:$AA)</f>
        <v>12</v>
      </c>
      <c r="L15" s="390">
        <f>SUMIF(數據!$A:$A,$B15,數據!$X:$X)</f>
        <v>14.5</v>
      </c>
      <c r="M15" s="391">
        <f t="shared" si="3"/>
        <v>0</v>
      </c>
      <c r="N15" s="396">
        <f>SUMIF('5. 安打紀錄表'!$W:$W,$B15,'5. 安打紀錄表'!$AB:$AB)</f>
        <v>15</v>
      </c>
      <c r="O15" s="390">
        <f>SUMIF(數據!$A:$A,$B15,數據!$Y:$Y)</f>
        <v>0</v>
      </c>
      <c r="P15" s="391" t="str">
        <f t="shared" si="4"/>
        <v>-500</v>
      </c>
      <c r="Q15" s="397">
        <f>SUMIF('5. 安打紀錄表'!$W:$W,$B15,'5. 安打紀錄表'!$AC:$AC)</f>
        <v>9237</v>
      </c>
      <c r="R15" s="387">
        <f>SUMIF(數據!$A:$A,$B15,數據!$AE:$AE)</f>
        <v>5365.73</v>
      </c>
      <c r="S15" s="391" t="str">
        <f t="shared" si="5"/>
        <v>-500</v>
      </c>
      <c r="T15" s="397">
        <f>SUMIF('5. 安打紀錄表'!$W:$W,$B15,'5. 安打紀錄表'!$AD:$AD)</f>
        <v>11289</v>
      </c>
      <c r="U15" s="387">
        <f>SUMIF(數據!$A:$A,$B15,數據!$AF:$AF)</f>
        <v>9843.7999999999993</v>
      </c>
      <c r="V15" s="391" t="str">
        <f t="shared" si="6"/>
        <v>-500</v>
      </c>
      <c r="W15" s="397">
        <f>SUMIF('5. 安打紀錄表'!$W:$W,$B15,'5. 安打紀錄表'!$AE:$AE)</f>
        <v>7</v>
      </c>
      <c r="X15" s="387">
        <f>SUMIF(數據!$A:$A,$B15,數據!$T:$T)</f>
        <v>7</v>
      </c>
      <c r="Y15" s="391">
        <f t="shared" si="7"/>
        <v>0</v>
      </c>
      <c r="Z15" s="397">
        <f>SUMIF('5. 安打紀錄表'!$W:$W,$B15,'5. 安打紀錄表'!$AF:$AF)</f>
        <v>8</v>
      </c>
      <c r="AA15" s="387">
        <f>SUMIF(數據!$A:$A,$B15,數據!$U:$U)</f>
        <v>0</v>
      </c>
      <c r="AB15" s="391" t="str">
        <f t="shared" si="8"/>
        <v>-500</v>
      </c>
      <c r="AC15" s="392">
        <v>5</v>
      </c>
      <c r="AD15" s="387">
        <v>0</v>
      </c>
      <c r="AE15" s="391" t="str">
        <f t="shared" si="9"/>
        <v>-500</v>
      </c>
    </row>
    <row r="16" spans="1:31" ht="26.25" customHeight="1">
      <c r="A16" s="393" t="s">
        <v>20</v>
      </c>
      <c r="B16" s="394" t="s">
        <v>102</v>
      </c>
      <c r="C16" s="395" t="s">
        <v>89</v>
      </c>
      <c r="D16" s="385">
        <f t="shared" si="0"/>
        <v>-4000</v>
      </c>
      <c r="E16" s="396">
        <f>SUMIF('5. 安打紀錄表'!$W:$W,$B16,'5. 安打紀錄表'!$Y:$Y)</f>
        <v>23</v>
      </c>
      <c r="F16" s="387">
        <f>SUMIF(數據!$A:$A,$B16,數據!$V:$V)</f>
        <v>15</v>
      </c>
      <c r="G16" s="388" t="str">
        <f t="shared" si="1"/>
        <v>-500</v>
      </c>
      <c r="H16" s="396">
        <f>SUMIF('5. 安打紀錄表'!$W:$W,$B16,'5. 安打紀錄表'!$Z:$Z)</f>
        <v>27</v>
      </c>
      <c r="I16" s="387">
        <f>SUMIF(數據!$A:$A,$B16,數據!$W:W)</f>
        <v>2</v>
      </c>
      <c r="J16" s="389" t="str">
        <f t="shared" si="2"/>
        <v>-500</v>
      </c>
      <c r="K16" s="396">
        <f>SUMIF('5. 安打紀錄表'!$W:$W,$B16,'5. 安打紀錄表'!$AA:$AA)</f>
        <v>10</v>
      </c>
      <c r="L16" s="390">
        <f>SUMIF(數據!$A:$A,$B16,數據!$X:$X)</f>
        <v>7</v>
      </c>
      <c r="M16" s="391" t="str">
        <f t="shared" si="3"/>
        <v>-500</v>
      </c>
      <c r="N16" s="396">
        <f>SUMIF('5. 安打紀錄表'!$W:$W,$B16,'5. 安打紀錄表'!$AB:$AB)</f>
        <v>13</v>
      </c>
      <c r="O16" s="390">
        <f>SUMIF(數據!$A:$A,$B16,數據!$Y:$Y)</f>
        <v>0</v>
      </c>
      <c r="P16" s="391" t="str">
        <f t="shared" si="4"/>
        <v>-500</v>
      </c>
      <c r="Q16" s="397">
        <f>SUMIF('5. 安打紀錄表'!$W:$W,$B16,'5. 安打紀錄表'!$AC:$AC)</f>
        <v>9237</v>
      </c>
      <c r="R16" s="387">
        <f>SUMIF(數據!$A:$A,$B16,數據!$AE:$AE)</f>
        <v>9542.16</v>
      </c>
      <c r="S16" s="391">
        <f t="shared" si="5"/>
        <v>0</v>
      </c>
      <c r="T16" s="397">
        <f>SUMIF('5. 安打紀錄表'!$W:$W,$B16,'5. 安打紀錄表'!$AD:$AD)</f>
        <v>11289</v>
      </c>
      <c r="U16" s="387">
        <f>SUMIF(數據!$A:$A,$B16,數據!$AF:$AF)</f>
        <v>5660.73</v>
      </c>
      <c r="V16" s="391" t="str">
        <f t="shared" si="6"/>
        <v>-500</v>
      </c>
      <c r="W16" s="397">
        <f>SUMIF('5. 安打紀錄表'!$W:$W,$B16,'5. 安打紀錄表'!$AE:$AE)</f>
        <v>6</v>
      </c>
      <c r="X16" s="387">
        <f>SUMIF(數據!$A:$A,$B16,數據!$T:$T)</f>
        <v>4</v>
      </c>
      <c r="Y16" s="391" t="str">
        <f t="shared" si="7"/>
        <v>-500</v>
      </c>
      <c r="Z16" s="397">
        <f>SUMIF('5. 安打紀錄表'!$W:$W,$B16,'5. 安打紀錄表'!$AF:$AF)</f>
        <v>7</v>
      </c>
      <c r="AA16" s="387">
        <f>SUMIF(數據!$A:$A,$B16,數據!$U:$U)</f>
        <v>0</v>
      </c>
      <c r="AB16" s="391" t="str">
        <f t="shared" si="8"/>
        <v>-500</v>
      </c>
      <c r="AC16" s="392">
        <v>5</v>
      </c>
      <c r="AD16" s="387">
        <v>0</v>
      </c>
      <c r="AE16" s="391" t="str">
        <f t="shared" si="9"/>
        <v>-500</v>
      </c>
    </row>
    <row r="17" spans="1:31" ht="26.25" customHeight="1">
      <c r="A17" s="393" t="s">
        <v>20</v>
      </c>
      <c r="B17" s="394" t="s">
        <v>111</v>
      </c>
      <c r="C17" s="395" t="s">
        <v>104</v>
      </c>
      <c r="D17" s="385">
        <f t="shared" si="0"/>
        <v>-4500</v>
      </c>
      <c r="E17" s="396">
        <f>SUMIF('5. 安打紀錄表'!$W:$W,$B17,'5. 安打紀錄表'!$Y:$Y)</f>
        <v>15</v>
      </c>
      <c r="F17" s="387">
        <f>SUMIF(數據!$A:$A,$B17,數據!$V:$V)</f>
        <v>13</v>
      </c>
      <c r="G17" s="388" t="str">
        <f t="shared" si="1"/>
        <v>-500</v>
      </c>
      <c r="H17" s="396">
        <f>SUMIF('5. 安打紀錄表'!$W:$W,$B17,'5. 安打紀錄表'!$Z:$Z)</f>
        <v>19</v>
      </c>
      <c r="I17" s="387">
        <f>SUMIF(數據!$A:$A,$B17,數據!$W:W)</f>
        <v>1</v>
      </c>
      <c r="J17" s="389" t="str">
        <f t="shared" si="2"/>
        <v>-500</v>
      </c>
      <c r="K17" s="396">
        <f>SUMIF('5. 安打紀錄表'!$W:$W,$B17,'5. 安打紀錄表'!$AA:$AA)</f>
        <v>7</v>
      </c>
      <c r="L17" s="390">
        <f>SUMIF(數據!$A:$A,$B17,數據!$X:$X)</f>
        <v>4</v>
      </c>
      <c r="M17" s="391" t="str">
        <f t="shared" si="3"/>
        <v>-500</v>
      </c>
      <c r="N17" s="396">
        <f>SUMIF('5. 安打紀錄表'!$W:$W,$B17,'5. 安打紀錄表'!$AB:$AB)</f>
        <v>9</v>
      </c>
      <c r="O17" s="390">
        <f>SUMIF(數據!$A:$A,$B17,數據!$Y:$Y)</f>
        <v>0</v>
      </c>
      <c r="P17" s="391" t="str">
        <f t="shared" si="4"/>
        <v>-500</v>
      </c>
      <c r="Q17" s="397">
        <f>SUMIF('5. 安打紀錄表'!$W:$W,$B17,'5. 安打紀錄表'!$AC:$AC)</f>
        <v>9237</v>
      </c>
      <c r="R17" s="387">
        <f>SUMIF(數據!$A:$A,$B17,數據!$AE:$AE)</f>
        <v>2936</v>
      </c>
      <c r="S17" s="391" t="str">
        <f t="shared" si="5"/>
        <v>-500</v>
      </c>
      <c r="T17" s="397">
        <f>SUMIF('5. 安打紀錄表'!$W:$W,$B17,'5. 安打紀錄表'!$AD:$AD)</f>
        <v>11289</v>
      </c>
      <c r="U17" s="387">
        <f>SUMIF(數據!$A:$A,$B17,數據!$AF:$AF)</f>
        <v>3569</v>
      </c>
      <c r="V17" s="391" t="str">
        <f t="shared" si="6"/>
        <v>-500</v>
      </c>
      <c r="W17" s="397">
        <f>SUMIF('5. 安打紀錄表'!$W:$W,$B17,'5. 安打紀錄表'!$AE:$AE)</f>
        <v>4</v>
      </c>
      <c r="X17" s="387">
        <f>SUMIF(數據!$A:$A,$B17,數據!$T:$T)</f>
        <v>2</v>
      </c>
      <c r="Y17" s="391" t="str">
        <f t="shared" si="7"/>
        <v>-500</v>
      </c>
      <c r="Z17" s="397">
        <f>SUMIF('5. 安打紀錄表'!$W:$W,$B17,'5. 安打紀錄表'!$AF:$AF)</f>
        <v>5</v>
      </c>
      <c r="AA17" s="387">
        <f>SUMIF(數據!$A:$A,$B17,數據!$U:$U)</f>
        <v>0</v>
      </c>
      <c r="AB17" s="391" t="str">
        <f t="shared" si="8"/>
        <v>-500</v>
      </c>
      <c r="AC17" s="392">
        <v>5</v>
      </c>
      <c r="AD17" s="387">
        <v>0</v>
      </c>
      <c r="AE17" s="391" t="str">
        <f t="shared" si="9"/>
        <v>-500</v>
      </c>
    </row>
    <row r="18" spans="1:31" ht="26.25" customHeight="1">
      <c r="A18" s="393" t="s">
        <v>21</v>
      </c>
      <c r="B18" s="394" t="s">
        <v>90</v>
      </c>
      <c r="C18" s="395" t="s">
        <v>91</v>
      </c>
      <c r="D18" s="385">
        <f t="shared" si="0"/>
        <v>-3500</v>
      </c>
      <c r="E18" s="396">
        <f>SUMIF('5. 安打紀錄表'!$W:$W,$B18,'5. 安打紀錄表'!$Y:$Y)</f>
        <v>22</v>
      </c>
      <c r="F18" s="387">
        <f>SUMIF(數據!$A:$A,$B18,數據!$V:$V)</f>
        <v>17</v>
      </c>
      <c r="G18" s="388" t="str">
        <f t="shared" si="1"/>
        <v>-500</v>
      </c>
      <c r="H18" s="396">
        <f>SUMIF('5. 安打紀錄表'!$W:$W,$B18,'5. 安打紀錄表'!$Z:$Z)</f>
        <v>26</v>
      </c>
      <c r="I18" s="387">
        <f>SUMIF(數據!$A:$A,$B18,數據!$W:W)</f>
        <v>2</v>
      </c>
      <c r="J18" s="389" t="str">
        <f t="shared" si="2"/>
        <v>-500</v>
      </c>
      <c r="K18" s="396">
        <f>SUMIF('5. 安打紀錄表'!$W:$W,$B18,'5. 安打紀錄表'!$AA:$AA)</f>
        <v>10</v>
      </c>
      <c r="L18" s="390">
        <f>SUMIF(數據!$A:$A,$B18,數據!$X:$X)</f>
        <v>10</v>
      </c>
      <c r="M18" s="391">
        <f t="shared" si="3"/>
        <v>0</v>
      </c>
      <c r="N18" s="396">
        <f>SUMIF('5. 安打紀錄表'!$W:$W,$B18,'5. 安打紀錄表'!$AB:$AB)</f>
        <v>13</v>
      </c>
      <c r="O18" s="390">
        <f>SUMIF(數據!$A:$A,$B18,數據!$Y:$Y)</f>
        <v>0</v>
      </c>
      <c r="P18" s="391" t="str">
        <f t="shared" si="4"/>
        <v>-500</v>
      </c>
      <c r="Q18" s="397">
        <f>SUMIF('5. 安打紀錄表'!$W:$W,$B18,'5. 安打紀錄表'!$AC:$AC)</f>
        <v>9237</v>
      </c>
      <c r="R18" s="387">
        <f>SUMIF(數據!$A:$A,$B18,數據!$AE:$AE)</f>
        <v>5418</v>
      </c>
      <c r="S18" s="391" t="str">
        <f t="shared" si="5"/>
        <v>-500</v>
      </c>
      <c r="T18" s="397">
        <f>SUMIF('5. 安打紀錄表'!$W:$W,$B18,'5. 安打紀錄表'!$AD:$AD)</f>
        <v>11289</v>
      </c>
      <c r="U18" s="387">
        <f>SUMIF(數據!$A:$A,$B18,數據!$AF:$AF)</f>
        <v>11874.859999999999</v>
      </c>
      <c r="V18" s="391">
        <f t="shared" si="6"/>
        <v>0</v>
      </c>
      <c r="W18" s="397">
        <f>SUMIF('5. 安打紀錄表'!$W:$W,$B18,'5. 安打紀錄表'!$AE:$AE)</f>
        <v>6</v>
      </c>
      <c r="X18" s="387">
        <f>SUMIF(數據!$A:$A,$B18,數據!$T:$T)</f>
        <v>5</v>
      </c>
      <c r="Y18" s="391" t="str">
        <f t="shared" si="7"/>
        <v>-500</v>
      </c>
      <c r="Z18" s="397">
        <f>SUMIF('5. 安打紀錄表'!$W:$W,$B18,'5. 安打紀錄表'!$AF:$AF)</f>
        <v>7</v>
      </c>
      <c r="AA18" s="387">
        <f>SUMIF(數據!$A:$A,$B18,數據!$U:$U)</f>
        <v>1</v>
      </c>
      <c r="AB18" s="391" t="str">
        <f t="shared" si="8"/>
        <v>-500</v>
      </c>
      <c r="AC18" s="392">
        <v>5</v>
      </c>
      <c r="AD18" s="387">
        <v>0</v>
      </c>
      <c r="AE18" s="391" t="str">
        <f t="shared" si="9"/>
        <v>-500</v>
      </c>
    </row>
    <row r="19" spans="1:31" ht="26.25" customHeight="1">
      <c r="A19" s="393" t="s">
        <v>21</v>
      </c>
      <c r="B19" s="394" t="s">
        <v>109</v>
      </c>
      <c r="C19" s="395" t="s">
        <v>89</v>
      </c>
      <c r="D19" s="385">
        <f t="shared" si="0"/>
        <v>-4000</v>
      </c>
      <c r="E19" s="396">
        <f>SUMIF('5. 安打紀錄表'!$W:$W,$B19,'5. 安打紀錄表'!$Y:$Y)</f>
        <v>19</v>
      </c>
      <c r="F19" s="387">
        <f>SUMIF(數據!$A:$A,$B19,數據!$V:$V)</f>
        <v>18</v>
      </c>
      <c r="G19" s="388" t="str">
        <f t="shared" si="1"/>
        <v>-500</v>
      </c>
      <c r="H19" s="396">
        <f>SUMIF('5. 安打紀錄表'!$W:$W,$B19,'5. 安打紀錄表'!$Z:$Z)</f>
        <v>24</v>
      </c>
      <c r="I19" s="387">
        <f>SUMIF(數據!$A:$A,$B19,數據!$W:W)</f>
        <v>2</v>
      </c>
      <c r="J19" s="389" t="str">
        <f t="shared" si="2"/>
        <v>-500</v>
      </c>
      <c r="K19" s="396">
        <f>SUMIF('5. 安打紀錄表'!$W:$W,$B19,'5. 安打紀錄表'!$AA:$AA)</f>
        <v>9</v>
      </c>
      <c r="L19" s="390">
        <f>SUMIF(數據!$A:$A,$B19,數據!$X:$X)</f>
        <v>5</v>
      </c>
      <c r="M19" s="391" t="str">
        <f t="shared" si="3"/>
        <v>-500</v>
      </c>
      <c r="N19" s="396">
        <f>SUMIF('5. 安打紀錄表'!$W:$W,$B19,'5. 安打紀錄表'!$AB:$AB)</f>
        <v>11</v>
      </c>
      <c r="O19" s="390">
        <f>SUMIF(數據!$A:$A,$B19,數據!$Y:$Y)</f>
        <v>1</v>
      </c>
      <c r="P19" s="391" t="str">
        <f t="shared" si="4"/>
        <v>-500</v>
      </c>
      <c r="Q19" s="397">
        <f>SUMIF('5. 安打紀錄表'!$W:$W,$B19,'5. 安打紀錄表'!$AC:$AC)</f>
        <v>9237</v>
      </c>
      <c r="R19" s="387">
        <f>SUMIF(數據!$A:$A,$B19,數據!$AE:$AE)</f>
        <v>10080</v>
      </c>
      <c r="S19" s="391">
        <f t="shared" si="5"/>
        <v>0</v>
      </c>
      <c r="T19" s="397">
        <f>SUMIF('5. 安打紀錄表'!$W:$W,$B19,'5. 安打紀錄表'!$AD:$AD)</f>
        <v>11289</v>
      </c>
      <c r="U19" s="387">
        <f>SUMIF(數據!$A:$A,$B19,數據!$AF:$AF)</f>
        <v>6033.8799999999992</v>
      </c>
      <c r="V19" s="391" t="str">
        <f t="shared" si="6"/>
        <v>-500</v>
      </c>
      <c r="W19" s="397">
        <f>SUMIF('5. 安打紀錄表'!$W:$W,$B19,'5. 安打紀錄表'!$AE:$AE)</f>
        <v>5</v>
      </c>
      <c r="X19" s="387">
        <f>SUMIF(數據!$A:$A,$B19,數據!$T:$T)</f>
        <v>3</v>
      </c>
      <c r="Y19" s="391" t="str">
        <f t="shared" si="7"/>
        <v>-500</v>
      </c>
      <c r="Z19" s="397">
        <f>SUMIF('5. 安打紀錄表'!$W:$W,$B19,'5. 安打紀錄表'!$AF:$AF)</f>
        <v>6</v>
      </c>
      <c r="AA19" s="387">
        <f>SUMIF(數據!$A:$A,$B19,數據!$U:$U)</f>
        <v>1</v>
      </c>
      <c r="AB19" s="391" t="str">
        <f t="shared" si="8"/>
        <v>-500</v>
      </c>
      <c r="AC19" s="392">
        <v>5</v>
      </c>
      <c r="AD19" s="387">
        <v>0</v>
      </c>
      <c r="AE19" s="391" t="str">
        <f t="shared" si="9"/>
        <v>-500</v>
      </c>
    </row>
    <row r="20" spans="1:31" ht="26.25" hidden="1" customHeight="1">
      <c r="A20" s="393"/>
      <c r="B20" s="394"/>
      <c r="C20" s="504"/>
      <c r="D20" s="385"/>
      <c r="E20" s="396"/>
      <c r="F20" s="387"/>
      <c r="G20" s="388"/>
      <c r="H20" s="396"/>
      <c r="I20" s="387"/>
      <c r="J20" s="398"/>
      <c r="K20" s="396"/>
      <c r="L20" s="390"/>
      <c r="M20" s="391"/>
      <c r="N20" s="396"/>
      <c r="O20" s="390"/>
      <c r="P20" s="391"/>
      <c r="Q20" s="397"/>
      <c r="R20" s="387"/>
      <c r="S20" s="391"/>
      <c r="T20" s="397"/>
      <c r="U20" s="387"/>
      <c r="V20" s="391"/>
      <c r="W20" s="397"/>
      <c r="X20" s="387"/>
      <c r="Y20" s="391"/>
      <c r="Z20" s="397"/>
      <c r="AA20" s="387"/>
      <c r="AB20" s="391"/>
      <c r="AC20" s="392"/>
      <c r="AD20" s="387"/>
      <c r="AE20" s="391"/>
    </row>
    <row r="21" spans="1:31" ht="26.25" customHeight="1">
      <c r="A21" s="393" t="s">
        <v>21</v>
      </c>
      <c r="B21" s="394" t="s">
        <v>103</v>
      </c>
      <c r="C21" s="395" t="s">
        <v>104</v>
      </c>
      <c r="D21" s="385">
        <f t="shared" si="0"/>
        <v>-4000</v>
      </c>
      <c r="E21" s="396">
        <f>SUMIF('5. 安打紀錄表'!$W:$W,$B21,'5. 安打紀錄表'!$Y:$Y)</f>
        <v>16</v>
      </c>
      <c r="F21" s="387">
        <f>SUMIF(數據!$A:$A,$B21,數據!$V:$V)</f>
        <v>14</v>
      </c>
      <c r="G21" s="388" t="str">
        <f t="shared" si="1"/>
        <v>-500</v>
      </c>
      <c r="H21" s="396">
        <f>SUMIF('5. 安打紀錄表'!$W:$W,$B21,'5. 安打紀錄表'!$Z:$Z)</f>
        <v>19</v>
      </c>
      <c r="I21" s="387">
        <f>SUMIF(數據!$A:$A,$B21,數據!$W:W)</f>
        <v>0</v>
      </c>
      <c r="J21" s="389" t="str">
        <f t="shared" si="2"/>
        <v>-500</v>
      </c>
      <c r="K21" s="396">
        <f>SUMIF('5. 安打紀錄表'!$W:$W,$B21,'5. 安打紀錄表'!$AA:$AA)</f>
        <v>7</v>
      </c>
      <c r="L21" s="390">
        <f>SUMIF(數據!$A:$A,$B21,數據!$X:$X)</f>
        <v>2.5</v>
      </c>
      <c r="M21" s="391" t="str">
        <f t="shared" si="3"/>
        <v>-500</v>
      </c>
      <c r="N21" s="396">
        <f>SUMIF('5. 安打紀錄表'!$W:$W,$B21,'5. 安打紀錄表'!$AB:$AB)</f>
        <v>9</v>
      </c>
      <c r="O21" s="390">
        <f>SUMIF(數據!$A:$A,$B21,數據!$Y:$Y)</f>
        <v>0</v>
      </c>
      <c r="P21" s="391" t="str">
        <f t="shared" si="4"/>
        <v>-500</v>
      </c>
      <c r="Q21" s="397">
        <f>SUMIF('5. 安打紀錄表'!$W:$W,$B21,'5. 安打紀錄表'!$AC:$AC)</f>
        <v>9237</v>
      </c>
      <c r="R21" s="387">
        <f>SUMIF(數據!$A:$A,$B21,數據!$AE:$AE)</f>
        <v>3878</v>
      </c>
      <c r="S21" s="391" t="str">
        <f t="shared" si="5"/>
        <v>-500</v>
      </c>
      <c r="T21" s="397">
        <f>SUMIF('5. 安打紀錄表'!$W:$W,$B21,'5. 安打紀錄表'!$AD:$AD)</f>
        <v>11289</v>
      </c>
      <c r="U21" s="387">
        <f>SUMIF(數據!$A:$A,$B21,數據!$AF:$AF)</f>
        <v>3688.8</v>
      </c>
      <c r="V21" s="391" t="str">
        <f t="shared" si="6"/>
        <v>-500</v>
      </c>
      <c r="W21" s="397">
        <f>SUMIF('5. 安打紀錄表'!$W:$W,$B21,'5. 安打紀錄表'!$AE:$AE)</f>
        <v>4</v>
      </c>
      <c r="X21" s="387">
        <f>SUMIF(數據!$A:$A,$B21,數據!$T:$T)</f>
        <v>7</v>
      </c>
      <c r="Y21" s="391">
        <f>IF(X21&gt;=W21,0,"-500")</f>
        <v>0</v>
      </c>
      <c r="Z21" s="397">
        <f>SUMIF('5. 安打紀錄表'!$W:$W,$B21,'5. 安打紀錄表'!$AF:$AF)</f>
        <v>5</v>
      </c>
      <c r="AA21" s="387">
        <f>SUMIF(數據!$A:$A,$B21,數據!$U:$U)</f>
        <v>0</v>
      </c>
      <c r="AB21" s="391" t="str">
        <f t="shared" si="8"/>
        <v>-500</v>
      </c>
      <c r="AC21" s="392">
        <v>5</v>
      </c>
      <c r="AD21" s="387">
        <v>0</v>
      </c>
      <c r="AE21" s="391" t="str">
        <f t="shared" si="9"/>
        <v>-500</v>
      </c>
    </row>
    <row r="22" spans="1:31" ht="19.5" customHeight="1">
      <c r="A22" s="393" t="s">
        <v>21</v>
      </c>
      <c r="B22" s="394" t="s">
        <v>112</v>
      </c>
      <c r="C22" s="395" t="s">
        <v>113</v>
      </c>
      <c r="D22" s="385">
        <f t="shared" si="0"/>
        <v>-2500</v>
      </c>
      <c r="E22" s="396">
        <f>SUMIF('5. 安打紀錄表'!$W:$W,$B22,'5. 安打紀錄表'!$Y:$Y)</f>
        <v>11</v>
      </c>
      <c r="F22" s="387">
        <f>SUMIF(數據!$A:$A,$B22,數據!$V:$V)</f>
        <v>11</v>
      </c>
      <c r="G22" s="388">
        <f t="shared" si="1"/>
        <v>0</v>
      </c>
      <c r="H22" s="396">
        <f>SUMIF('5. 安打紀錄表'!$W:$W,$B22,'5. 安打紀錄表'!$Z:$Z)</f>
        <v>13</v>
      </c>
      <c r="I22" s="387">
        <f>SUMIF(數據!$A:$A,$B22,數據!$W:W)</f>
        <v>0</v>
      </c>
      <c r="J22" s="389" t="str">
        <f t="shared" si="2"/>
        <v>-500</v>
      </c>
      <c r="K22" s="396">
        <f>SUMIF('5. 安打紀錄表'!$W:$W,$B22,'5. 安打紀錄表'!$AA:$AA)</f>
        <v>5</v>
      </c>
      <c r="L22" s="390">
        <f>SUMIF(數據!$A:$A,$B22,數據!$X:$X)</f>
        <v>5</v>
      </c>
      <c r="M22" s="391">
        <f t="shared" si="3"/>
        <v>0</v>
      </c>
      <c r="N22" s="396">
        <f>SUMIF('5. 安打紀錄表'!$W:$W,$B22,'5. 安打紀錄表'!$AB:$AB)</f>
        <v>6</v>
      </c>
      <c r="O22" s="390">
        <f>SUMIF(數據!$A:$A,$B22,數據!$Y:$Y)</f>
        <v>0</v>
      </c>
      <c r="P22" s="391" t="str">
        <f t="shared" si="4"/>
        <v>-500</v>
      </c>
      <c r="Q22" s="397">
        <f>SUMIF('5. 安打紀錄表'!$W:$W,$B22,'5. 安打紀錄表'!$AC:$AC)</f>
        <v>4625</v>
      </c>
      <c r="R22" s="387">
        <f>SUMIF(數據!$A:$A,$B22,數據!$AE:$AE)</f>
        <v>6993.73</v>
      </c>
      <c r="S22" s="391">
        <f t="shared" si="5"/>
        <v>0</v>
      </c>
      <c r="T22" s="397">
        <f>SUMIF('5. 安打紀錄表'!$W:$W,$B22,'5. 安打紀錄表'!$AD:$AD)</f>
        <v>5653</v>
      </c>
      <c r="U22" s="387">
        <f>SUMIF(數據!$A:$A,$B22,數據!$AF:$AF)</f>
        <v>4744</v>
      </c>
      <c r="V22" s="391" t="str">
        <f t="shared" si="6"/>
        <v>-500</v>
      </c>
      <c r="W22" s="397">
        <f>SUMIF('5. 安打紀錄表'!$W:$W,$B22,'5. 安打紀錄表'!$AE:$AE)</f>
        <v>3</v>
      </c>
      <c r="X22" s="387">
        <f>SUMIF(數據!$A:$A,$B22,數據!$T:$T)</f>
        <v>6</v>
      </c>
      <c r="Y22" s="391">
        <f>IF(X22&gt;=W22,0,"-500")</f>
        <v>0</v>
      </c>
      <c r="Z22" s="397">
        <f>SUMIF('5. 安打紀錄表'!$W:$W,$B22,'5. 安打紀錄表'!$AF:$AF)</f>
        <v>4</v>
      </c>
      <c r="AA22" s="387">
        <f>SUMIF(數據!$A:$A,$B22,數據!$U:$U)</f>
        <v>0</v>
      </c>
      <c r="AB22" s="391" t="str">
        <f t="shared" si="8"/>
        <v>-500</v>
      </c>
      <c r="AC22" s="392">
        <v>5</v>
      </c>
      <c r="AD22" s="387">
        <v>0</v>
      </c>
      <c r="AE22" s="391" t="str">
        <f t="shared" si="9"/>
        <v>-500</v>
      </c>
    </row>
  </sheetData>
  <mergeCells count="10">
    <mergeCell ref="A1:C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honeticPr fontId="14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BF1DE"/>
  </sheetPr>
  <dimension ref="A1:S22"/>
  <sheetViews>
    <sheetView zoomScaleNormal="100" workbookViewId="0">
      <pane xSplit="5" ySplit="1" topLeftCell="G17" activePane="bottomRight" state="frozen"/>
      <selection pane="topRight" activeCell="F1" sqref="F1"/>
      <selection pane="bottomLeft" activeCell="A2" sqref="A2"/>
      <selection pane="bottomRight" activeCell="I33" sqref="I33"/>
    </sheetView>
  </sheetViews>
  <sheetFormatPr defaultColWidth="8.5703125" defaultRowHeight="15.75" outlineLevelCol="1"/>
  <cols>
    <col min="1" max="1" width="12.42578125" customWidth="1"/>
    <col min="2" max="2" width="14" customWidth="1"/>
    <col min="3" max="4" width="13.42578125" customWidth="1"/>
    <col min="5" max="5" width="18.140625" customWidth="1"/>
    <col min="6" max="6" width="14.85546875" hidden="1" customWidth="1" outlineLevel="1"/>
    <col min="7" max="7" width="12" hidden="1" customWidth="1" outlineLevel="1"/>
    <col min="8" max="8" width="13" style="399" hidden="1" customWidth="1" outlineLevel="1"/>
    <col min="9" max="9" width="13.140625" customWidth="1" collapsed="1"/>
    <col min="10" max="10" width="13.42578125" customWidth="1"/>
    <col min="11" max="11" width="12.140625" customWidth="1"/>
    <col min="12" max="12" width="12.5703125" hidden="1" customWidth="1" outlineLevel="1"/>
    <col min="13" max="13" width="11" hidden="1" customWidth="1" outlineLevel="1"/>
    <col min="14" max="14" width="13" hidden="1" customWidth="1" outlineLevel="1"/>
    <col min="15" max="15" width="14.140625" customWidth="1" collapsed="1"/>
    <col min="16" max="16" width="12.5703125" customWidth="1"/>
    <col min="17" max="17" width="16.140625" customWidth="1"/>
    <col min="18" max="18" width="9.85546875" customWidth="1"/>
    <col min="19" max="19" width="23.5703125" customWidth="1"/>
  </cols>
  <sheetData>
    <row r="1" spans="1:19" ht="47.25" customHeight="1">
      <c r="A1" s="574" t="s">
        <v>280</v>
      </c>
      <c r="B1" s="574"/>
      <c r="C1" s="574"/>
      <c r="D1" s="400" t="s">
        <v>281</v>
      </c>
      <c r="E1" s="401" t="s">
        <v>282</v>
      </c>
      <c r="F1" s="575" t="s">
        <v>283</v>
      </c>
      <c r="G1" s="575"/>
      <c r="H1" s="575"/>
      <c r="I1" s="575" t="s">
        <v>284</v>
      </c>
      <c r="J1" s="575"/>
      <c r="K1" s="575"/>
      <c r="L1" s="575" t="s">
        <v>285</v>
      </c>
      <c r="M1" s="575"/>
      <c r="N1" s="575"/>
      <c r="O1" s="575" t="s">
        <v>286</v>
      </c>
      <c r="P1" s="575"/>
      <c r="Q1" s="575"/>
      <c r="R1" s="575" t="s">
        <v>287</v>
      </c>
      <c r="S1" s="575"/>
    </row>
    <row r="2" spans="1:19" ht="26.25" customHeight="1">
      <c r="A2" s="379" t="s">
        <v>137</v>
      </c>
      <c r="B2" s="379" t="s">
        <v>7</v>
      </c>
      <c r="C2" s="379" t="s">
        <v>73</v>
      </c>
      <c r="D2" s="402" t="s">
        <v>288</v>
      </c>
      <c r="E2" s="403" t="s">
        <v>289</v>
      </c>
      <c r="F2" s="404" t="s">
        <v>231</v>
      </c>
      <c r="G2" s="404" t="s">
        <v>232</v>
      </c>
      <c r="H2" s="404" t="s">
        <v>49</v>
      </c>
      <c r="I2" s="404" t="s">
        <v>231</v>
      </c>
      <c r="J2" s="404" t="s">
        <v>232</v>
      </c>
      <c r="K2" s="404" t="s">
        <v>49</v>
      </c>
      <c r="L2" s="404" t="s">
        <v>231</v>
      </c>
      <c r="M2" s="404" t="s">
        <v>232</v>
      </c>
      <c r="N2" s="404" t="s">
        <v>233</v>
      </c>
      <c r="O2" s="404" t="s">
        <v>231</v>
      </c>
      <c r="P2" s="404" t="s">
        <v>232</v>
      </c>
      <c r="Q2" s="404" t="s">
        <v>233</v>
      </c>
      <c r="R2" s="404" t="s">
        <v>232</v>
      </c>
      <c r="S2" s="404" t="s">
        <v>50</v>
      </c>
    </row>
    <row r="3" spans="1:19" ht="26.25" customHeight="1">
      <c r="A3" s="382" t="s">
        <v>17</v>
      </c>
      <c r="B3" s="383" t="s">
        <v>96</v>
      </c>
      <c r="C3" s="384" t="s">
        <v>91</v>
      </c>
      <c r="D3" s="388">
        <f t="shared" ref="D3:D22" si="0">E3*25</f>
        <v>81250</v>
      </c>
      <c r="E3" s="405">
        <f t="shared" ref="E3:E22" si="1">SUM(N3,Q3,S3)</f>
        <v>3250</v>
      </c>
      <c r="F3" s="386">
        <v>19</v>
      </c>
      <c r="G3" s="406">
        <f>SUMIF(數據!$A:$A,$B3,數據!$C:$C)</f>
        <v>23.5</v>
      </c>
      <c r="H3" s="407">
        <f t="shared" ref="H3:H22" si="2">G3/F3</f>
        <v>1.236842105263158</v>
      </c>
      <c r="I3" s="386">
        <v>19</v>
      </c>
      <c r="J3" s="406">
        <f>SUMIF(數據!$A:$A,$B3,數據!$D:$D)</f>
        <v>2</v>
      </c>
      <c r="K3" s="407">
        <f t="shared" ref="K3:K22" si="3">J3/I3</f>
        <v>0.10526315789473684</v>
      </c>
      <c r="L3" s="386">
        <v>19</v>
      </c>
      <c r="M3" s="406">
        <f>SUMIF(數據!$A:$A,$B3,數據!$E:$E)</f>
        <v>23.5</v>
      </c>
      <c r="N3" s="408">
        <f t="shared" ref="N3:N8" si="4">IF($H3&gt;=60%,M3*100,0)</f>
        <v>2350</v>
      </c>
      <c r="O3" s="386">
        <v>19</v>
      </c>
      <c r="P3" s="406">
        <f>SUMIF(數據!$A:$A,$B3,數據!$F:$F)</f>
        <v>2</v>
      </c>
      <c r="Q3" s="408">
        <f t="shared" ref="Q3:Q8" si="5">IF(K3&lt;60%,0,(P3*100))</f>
        <v>0</v>
      </c>
      <c r="R3" s="409">
        <f>SUMIF(數據!$A:$A,$B3,數據!$G:$G)</f>
        <v>3</v>
      </c>
      <c r="S3" s="391">
        <f t="shared" ref="S3:S22" si="6">R3*300</f>
        <v>900</v>
      </c>
    </row>
    <row r="4" spans="1:19" ht="26.25" customHeight="1">
      <c r="A4" s="393" t="s">
        <v>17</v>
      </c>
      <c r="B4" s="394" t="s">
        <v>108</v>
      </c>
      <c r="C4" s="395" t="s">
        <v>89</v>
      </c>
      <c r="D4" s="410">
        <f t="shared" si="0"/>
        <v>73750</v>
      </c>
      <c r="E4" s="405">
        <f t="shared" si="1"/>
        <v>2950</v>
      </c>
      <c r="F4" s="386">
        <v>19</v>
      </c>
      <c r="G4" s="406">
        <f>SUMIF(數據!$A:$A,$B4,數據!$C:$C)</f>
        <v>23.5</v>
      </c>
      <c r="H4" s="411">
        <f t="shared" si="2"/>
        <v>1.236842105263158</v>
      </c>
      <c r="I4" s="386">
        <v>19</v>
      </c>
      <c r="J4" s="406">
        <f>SUMIF(數據!$A:$A,$B4,數據!$D:$D)</f>
        <v>0</v>
      </c>
      <c r="K4" s="411">
        <f t="shared" si="3"/>
        <v>0</v>
      </c>
      <c r="L4" s="386">
        <v>19</v>
      </c>
      <c r="M4" s="406">
        <f>SUMIF(數據!$A:$A,$B4,數據!$E:$E)</f>
        <v>23.5</v>
      </c>
      <c r="N4" s="408">
        <f t="shared" si="4"/>
        <v>2350</v>
      </c>
      <c r="O4" s="386">
        <v>19</v>
      </c>
      <c r="P4" s="406">
        <f>SUMIF(數據!$A:$A,$B4,數據!$F:$F)</f>
        <v>0</v>
      </c>
      <c r="Q4" s="408">
        <f t="shared" si="5"/>
        <v>0</v>
      </c>
      <c r="R4" s="409">
        <f>SUMIF(數據!$A:$A,$B4,數據!$G:$G)</f>
        <v>2</v>
      </c>
      <c r="S4" s="391">
        <f t="shared" si="6"/>
        <v>600</v>
      </c>
    </row>
    <row r="5" spans="1:19" ht="26.25" customHeight="1">
      <c r="A5" s="393" t="s">
        <v>17</v>
      </c>
      <c r="B5" s="394" t="s">
        <v>101</v>
      </c>
      <c r="C5" s="395" t="s">
        <v>100</v>
      </c>
      <c r="D5" s="410">
        <f t="shared" si="0"/>
        <v>52500</v>
      </c>
      <c r="E5" s="405">
        <f t="shared" si="1"/>
        <v>2100</v>
      </c>
      <c r="F5" s="386">
        <v>19</v>
      </c>
      <c r="G5" s="406">
        <f>SUMIF(數據!$A:$A,$B5,數據!$C:$C)</f>
        <v>15</v>
      </c>
      <c r="H5" s="411">
        <f t="shared" si="2"/>
        <v>0.78947368421052633</v>
      </c>
      <c r="I5" s="386">
        <v>19</v>
      </c>
      <c r="J5" s="406">
        <f>SUMIF(數據!$A:$A,$B5,數據!$D:$D)</f>
        <v>0</v>
      </c>
      <c r="K5" s="411">
        <f t="shared" si="3"/>
        <v>0</v>
      </c>
      <c r="L5" s="386">
        <v>19</v>
      </c>
      <c r="M5" s="406">
        <f>SUMIF(數據!$A:$A,$B5,數據!$E:$E)</f>
        <v>15</v>
      </c>
      <c r="N5" s="408">
        <f t="shared" si="4"/>
        <v>1500</v>
      </c>
      <c r="O5" s="386">
        <v>19</v>
      </c>
      <c r="P5" s="406">
        <f>SUMIF(數據!$A:$A,$B5,數據!$F:$F)</f>
        <v>0</v>
      </c>
      <c r="Q5" s="408">
        <f t="shared" si="5"/>
        <v>0</v>
      </c>
      <c r="R5" s="409">
        <f>SUMIF(數據!$A:$A,$B5,數據!$G:$G)</f>
        <v>2</v>
      </c>
      <c r="S5" s="391">
        <f t="shared" si="6"/>
        <v>600</v>
      </c>
    </row>
    <row r="6" spans="1:19" ht="26.25" customHeight="1">
      <c r="A6" s="393" t="s">
        <v>17</v>
      </c>
      <c r="B6" s="394" t="s">
        <v>106</v>
      </c>
      <c r="C6" s="395" t="s">
        <v>104</v>
      </c>
      <c r="D6" s="410">
        <f t="shared" si="0"/>
        <v>105000</v>
      </c>
      <c r="E6" s="405">
        <f t="shared" si="1"/>
        <v>4200</v>
      </c>
      <c r="F6" s="386">
        <v>19</v>
      </c>
      <c r="G6" s="406">
        <f>SUMIF(數據!$A:$A,$B6,數據!$C:$C)</f>
        <v>23</v>
      </c>
      <c r="H6" s="411">
        <f t="shared" si="2"/>
        <v>1.2105263157894737</v>
      </c>
      <c r="I6" s="386">
        <v>19</v>
      </c>
      <c r="J6" s="406">
        <f>SUMIF(數據!$A:$A,$B6,數據!$D:$D)</f>
        <v>11.5</v>
      </c>
      <c r="K6" s="411">
        <f t="shared" si="3"/>
        <v>0.60526315789473684</v>
      </c>
      <c r="L6" s="386">
        <v>19</v>
      </c>
      <c r="M6" s="406">
        <f>SUMIF(數據!$A:$A,$B6,數據!$E:$E)</f>
        <v>21.5</v>
      </c>
      <c r="N6" s="408">
        <f t="shared" si="4"/>
        <v>2150</v>
      </c>
      <c r="O6" s="386">
        <v>19</v>
      </c>
      <c r="P6" s="406">
        <f>SUMIF(數據!$A:$A,$B6,數據!$F:$F)</f>
        <v>11.5</v>
      </c>
      <c r="Q6" s="408">
        <f t="shared" si="5"/>
        <v>1150</v>
      </c>
      <c r="R6" s="409">
        <f>SUMIF(數據!$A:$A,$B6,數據!$G:$G)</f>
        <v>3</v>
      </c>
      <c r="S6" s="391">
        <f t="shared" si="6"/>
        <v>900</v>
      </c>
    </row>
    <row r="7" spans="1:19" ht="26.25" customHeight="1">
      <c r="A7" s="393" t="s">
        <v>22</v>
      </c>
      <c r="B7" s="394" t="s">
        <v>23</v>
      </c>
      <c r="C7" s="395" t="s">
        <v>95</v>
      </c>
      <c r="D7" s="410">
        <f>E7*25</f>
        <v>48750</v>
      </c>
      <c r="E7" s="405">
        <f>SUM(N7,Q7,S7)</f>
        <v>1950</v>
      </c>
      <c r="F7" s="386">
        <v>19</v>
      </c>
      <c r="G7" s="406">
        <f>SUMIF(數據!$A:$A,$B7,數據!$C:$C)</f>
        <v>16.5</v>
      </c>
      <c r="H7" s="411">
        <f>G7/F7</f>
        <v>0.86842105263157898</v>
      </c>
      <c r="I7" s="386">
        <v>19</v>
      </c>
      <c r="J7" s="406">
        <f>SUMIF(數據!$A:$A,$B7,數據!$D:$D)</f>
        <v>0</v>
      </c>
      <c r="K7" s="411">
        <f>J7/I7</f>
        <v>0</v>
      </c>
      <c r="L7" s="386">
        <v>19</v>
      </c>
      <c r="M7" s="406">
        <f>SUMIF(數據!$A:$A,$B7,數據!$E:$E)</f>
        <v>16.5</v>
      </c>
      <c r="N7" s="408">
        <f t="shared" si="4"/>
        <v>1650</v>
      </c>
      <c r="O7" s="386">
        <v>19</v>
      </c>
      <c r="P7" s="406">
        <f>SUMIF(數據!$A:$A,$B7,數據!$F:$F)</f>
        <v>0</v>
      </c>
      <c r="Q7" s="408">
        <f t="shared" si="5"/>
        <v>0</v>
      </c>
      <c r="R7" s="409">
        <f>SUMIF(數據!$A:$A,$B7,數據!$G:$G)</f>
        <v>1</v>
      </c>
      <c r="S7" s="391">
        <f>R7*300</f>
        <v>300</v>
      </c>
    </row>
    <row r="8" spans="1:19" ht="26.25" customHeight="1">
      <c r="A8" s="393" t="s">
        <v>18</v>
      </c>
      <c r="B8" s="394" t="s">
        <v>97</v>
      </c>
      <c r="C8" s="395" t="s">
        <v>89</v>
      </c>
      <c r="D8" s="410">
        <f t="shared" si="0"/>
        <v>41250</v>
      </c>
      <c r="E8" s="405">
        <f t="shared" si="1"/>
        <v>1650</v>
      </c>
      <c r="F8" s="386">
        <v>19</v>
      </c>
      <c r="G8" s="406">
        <f>SUMIF(數據!$A:$A,$B8,數據!$C:$C)</f>
        <v>13.5</v>
      </c>
      <c r="H8" s="412">
        <f t="shared" si="2"/>
        <v>0.71052631578947367</v>
      </c>
      <c r="I8" s="386">
        <v>19</v>
      </c>
      <c r="J8" s="406">
        <f>SUMIF(數據!$A:$A,$B8,數據!$D:$D)</f>
        <v>0</v>
      </c>
      <c r="K8" s="412">
        <f t="shared" si="3"/>
        <v>0</v>
      </c>
      <c r="L8" s="386">
        <v>19</v>
      </c>
      <c r="M8" s="406">
        <f>SUMIF(數據!$A:$A,$B8,數據!$E:$E)</f>
        <v>13.5</v>
      </c>
      <c r="N8" s="408">
        <f t="shared" si="4"/>
        <v>1350</v>
      </c>
      <c r="O8" s="386">
        <v>19</v>
      </c>
      <c r="P8" s="406">
        <f>SUMIF(數據!$A:$A,$B8,數據!$F:$F)</f>
        <v>0</v>
      </c>
      <c r="Q8" s="408">
        <f t="shared" si="5"/>
        <v>0</v>
      </c>
      <c r="R8" s="409">
        <f>SUMIF(數據!$A:$A,$B8,數據!$G:$G)</f>
        <v>1</v>
      </c>
      <c r="S8" s="391">
        <f t="shared" si="6"/>
        <v>300</v>
      </c>
    </row>
    <row r="9" spans="1:19" ht="26.25" customHeight="1">
      <c r="A9" s="393" t="s">
        <v>18</v>
      </c>
      <c r="B9" s="394" t="s">
        <v>98</v>
      </c>
      <c r="C9" s="395" t="s">
        <v>89</v>
      </c>
      <c r="D9" s="410">
        <f t="shared" si="0"/>
        <v>147500</v>
      </c>
      <c r="E9" s="405">
        <f t="shared" si="1"/>
        <v>5900</v>
      </c>
      <c r="F9" s="386">
        <v>19</v>
      </c>
      <c r="G9" s="406">
        <f>SUMIF(數據!$A:$A,$B9,數據!$C:$C)</f>
        <v>35.5</v>
      </c>
      <c r="H9" s="411">
        <f t="shared" si="2"/>
        <v>1.868421052631579</v>
      </c>
      <c r="I9" s="386">
        <v>19</v>
      </c>
      <c r="J9" s="406">
        <f>SUMIF(數據!$A:$A,$B9,數據!$D:$D)</f>
        <v>11.5</v>
      </c>
      <c r="K9" s="411">
        <f t="shared" si="3"/>
        <v>0.60526315789473684</v>
      </c>
      <c r="L9" s="386">
        <v>19</v>
      </c>
      <c r="M9" s="406">
        <f>SUMIF(數據!$A:$A,$B9,數據!$E:$E)</f>
        <v>35.5</v>
      </c>
      <c r="N9" s="408">
        <f>M9*100</f>
        <v>3550</v>
      </c>
      <c r="O9" s="386">
        <v>19</v>
      </c>
      <c r="P9" s="406">
        <f>SUMIF(數據!$A:$A,$B9,數據!$F:$F)</f>
        <v>11.5</v>
      </c>
      <c r="Q9" s="408">
        <f>P9*100</f>
        <v>1150</v>
      </c>
      <c r="R9" s="409">
        <f>SUMIF(數據!$A:$A,$B9,數據!$G:$G)</f>
        <v>4</v>
      </c>
      <c r="S9" s="391">
        <f t="shared" si="6"/>
        <v>1200</v>
      </c>
    </row>
    <row r="10" spans="1:19" ht="26.25" customHeight="1">
      <c r="A10" s="393" t="s">
        <v>18</v>
      </c>
      <c r="B10" s="394" t="s">
        <v>110</v>
      </c>
      <c r="C10" s="395" t="s">
        <v>104</v>
      </c>
      <c r="D10" s="410">
        <f t="shared" si="0"/>
        <v>33750</v>
      </c>
      <c r="E10" s="405">
        <f t="shared" si="1"/>
        <v>1350</v>
      </c>
      <c r="F10" s="386">
        <v>19</v>
      </c>
      <c r="G10" s="406">
        <f>SUMIF(數據!$A:$A,$B10,數據!$C:$C)</f>
        <v>12</v>
      </c>
      <c r="H10" s="412">
        <f t="shared" si="2"/>
        <v>0.63157894736842102</v>
      </c>
      <c r="I10" s="386">
        <v>19</v>
      </c>
      <c r="J10" s="406">
        <f>SUMIF(數據!$A:$A,$B10,數據!$D:$D)</f>
        <v>0</v>
      </c>
      <c r="K10" s="412">
        <f t="shared" si="3"/>
        <v>0</v>
      </c>
      <c r="L10" s="386">
        <v>19</v>
      </c>
      <c r="M10" s="406">
        <f>SUMIF(數據!$A:$A,$B10,數據!$E:$E)</f>
        <v>10.5</v>
      </c>
      <c r="N10" s="408">
        <f>M10*100</f>
        <v>1050</v>
      </c>
      <c r="O10" s="386">
        <v>19</v>
      </c>
      <c r="P10" s="406">
        <f>SUMIF(數據!$A:$A,$B10,數據!$F:$F)</f>
        <v>0</v>
      </c>
      <c r="Q10" s="408">
        <f>P10*100</f>
        <v>0</v>
      </c>
      <c r="R10" s="409">
        <f>SUMIF(數據!$A:$A,$B10,數據!$G:$G)</f>
        <v>1</v>
      </c>
      <c r="S10" s="391">
        <f t="shared" si="6"/>
        <v>300</v>
      </c>
    </row>
    <row r="11" spans="1:19" ht="26.25" customHeight="1">
      <c r="A11" s="393" t="s">
        <v>19</v>
      </c>
      <c r="B11" s="394" t="s">
        <v>99</v>
      </c>
      <c r="C11" s="395" t="s">
        <v>100</v>
      </c>
      <c r="D11" s="410">
        <f t="shared" si="0"/>
        <v>46250</v>
      </c>
      <c r="E11" s="405">
        <f t="shared" si="1"/>
        <v>1850</v>
      </c>
      <c r="F11" s="386">
        <v>19</v>
      </c>
      <c r="G11" s="406">
        <f>SUMIF(數據!$A:$A,$B11,數據!$C:$C)</f>
        <v>15.5</v>
      </c>
      <c r="H11" s="412">
        <f t="shared" si="2"/>
        <v>0.81578947368421051</v>
      </c>
      <c r="I11" s="386">
        <v>19</v>
      </c>
      <c r="J11" s="406">
        <f>SUMIF(數據!$A:$A,$B11,數據!$D:$D)</f>
        <v>0</v>
      </c>
      <c r="K11" s="412">
        <f t="shared" si="3"/>
        <v>0</v>
      </c>
      <c r="L11" s="386">
        <v>19</v>
      </c>
      <c r="M11" s="406">
        <f>SUMIF(數據!$A:$A,$B11,數據!$E:$E)</f>
        <v>15.5</v>
      </c>
      <c r="N11" s="408">
        <f>M11*100</f>
        <v>1550</v>
      </c>
      <c r="O11" s="386">
        <v>19</v>
      </c>
      <c r="P11" s="406">
        <f>SUMIF(數據!$A:$A,$B11,數據!$F:$F)</f>
        <v>0</v>
      </c>
      <c r="Q11" s="408">
        <f>P11*100</f>
        <v>0</v>
      </c>
      <c r="R11" s="409">
        <f>SUMIF(數據!$A:$A,$B11,數據!$G:$G)</f>
        <v>1</v>
      </c>
      <c r="S11" s="391">
        <f t="shared" si="6"/>
        <v>300</v>
      </c>
    </row>
    <row r="12" spans="1:19" ht="26.25" customHeight="1">
      <c r="A12" s="393" t="s">
        <v>19</v>
      </c>
      <c r="B12" s="394" t="s">
        <v>88</v>
      </c>
      <c r="C12" s="395" t="s">
        <v>89</v>
      </c>
      <c r="D12" s="410">
        <f t="shared" si="0"/>
        <v>22500</v>
      </c>
      <c r="E12" s="405">
        <f t="shared" si="1"/>
        <v>900</v>
      </c>
      <c r="F12" s="386">
        <v>19</v>
      </c>
      <c r="G12" s="406">
        <f>SUMIF(數據!$A:$A,$B12,數據!$C:$C)</f>
        <v>12</v>
      </c>
      <c r="H12" s="411">
        <f t="shared" si="2"/>
        <v>0.63157894736842102</v>
      </c>
      <c r="I12" s="386">
        <v>19</v>
      </c>
      <c r="J12" s="406">
        <f>SUMIF(數據!$A:$A,$B12,數據!$D:$D)</f>
        <v>0</v>
      </c>
      <c r="K12" s="411">
        <f t="shared" si="3"/>
        <v>0</v>
      </c>
      <c r="L12" s="386">
        <v>19</v>
      </c>
      <c r="M12" s="406">
        <f>SUMIF(數據!$A:$A,$B12,數據!$E:$E)</f>
        <v>9</v>
      </c>
      <c r="N12" s="408">
        <f t="shared" ref="N12:N22" si="7">IF($H12&gt;=60%,M12*100,0)</f>
        <v>900</v>
      </c>
      <c r="O12" s="386">
        <v>19</v>
      </c>
      <c r="P12" s="406">
        <f>SUMIF(數據!$A:$A,$B12,數據!$F:$F)</f>
        <v>0</v>
      </c>
      <c r="Q12" s="408">
        <f t="shared" ref="Q12:Q22" si="8">IF(K12&lt;60%,0,(P12*100))</f>
        <v>0</v>
      </c>
      <c r="R12" s="409">
        <f>SUMIF(數據!$A:$A,$B12,數據!$G:$G)</f>
        <v>0</v>
      </c>
      <c r="S12" s="391">
        <f t="shared" si="6"/>
        <v>0</v>
      </c>
    </row>
    <row r="13" spans="1:19" ht="26.25" customHeight="1">
      <c r="A13" s="393" t="s">
        <v>19</v>
      </c>
      <c r="B13" s="394" t="s">
        <v>107</v>
      </c>
      <c r="C13" s="395" t="s">
        <v>104</v>
      </c>
      <c r="D13" s="410">
        <f t="shared" si="0"/>
        <v>41250</v>
      </c>
      <c r="E13" s="405">
        <f t="shared" si="1"/>
        <v>1650</v>
      </c>
      <c r="F13" s="386">
        <v>19</v>
      </c>
      <c r="G13" s="406">
        <f>SUMIF(數據!$A:$A,$B13,數據!$C:$C)</f>
        <v>15</v>
      </c>
      <c r="H13" s="411">
        <f t="shared" si="2"/>
        <v>0.78947368421052633</v>
      </c>
      <c r="I13" s="386">
        <v>19</v>
      </c>
      <c r="J13" s="406">
        <f>SUMIF(數據!$A:$A,$B13,數據!$D:$D)</f>
        <v>0</v>
      </c>
      <c r="K13" s="411">
        <f t="shared" si="3"/>
        <v>0</v>
      </c>
      <c r="L13" s="386">
        <v>19</v>
      </c>
      <c r="M13" s="406">
        <f>SUMIF(數據!$A:$A,$B13,數據!$E:$E)</f>
        <v>13.5</v>
      </c>
      <c r="N13" s="408">
        <f t="shared" si="7"/>
        <v>1350</v>
      </c>
      <c r="O13" s="386">
        <v>19</v>
      </c>
      <c r="P13" s="406">
        <f>SUMIF(數據!$A:$A,$B13,數據!$F:$F)</f>
        <v>0</v>
      </c>
      <c r="Q13" s="408">
        <f t="shared" si="8"/>
        <v>0</v>
      </c>
      <c r="R13" s="409">
        <f>SUMIF(數據!$A:$A,$B13,數據!$G:$G)</f>
        <v>1</v>
      </c>
      <c r="S13" s="391">
        <f t="shared" si="6"/>
        <v>300</v>
      </c>
    </row>
    <row r="14" spans="1:19" ht="26.25" customHeight="1">
      <c r="A14" s="393" t="s">
        <v>20</v>
      </c>
      <c r="B14" s="394" t="s">
        <v>93</v>
      </c>
      <c r="C14" s="395" t="s">
        <v>91</v>
      </c>
      <c r="D14" s="410">
        <f t="shared" si="0"/>
        <v>100000</v>
      </c>
      <c r="E14" s="405">
        <f t="shared" si="1"/>
        <v>4000</v>
      </c>
      <c r="F14" s="386">
        <v>19</v>
      </c>
      <c r="G14" s="406">
        <f>SUMIF(數據!$A:$A,$B14,數據!$C:$C)</f>
        <v>35.5</v>
      </c>
      <c r="H14" s="411">
        <f t="shared" si="2"/>
        <v>1.868421052631579</v>
      </c>
      <c r="I14" s="386">
        <v>19</v>
      </c>
      <c r="J14" s="406">
        <f>SUMIF(數據!$A:$A,$B14,數據!$D:$D)</f>
        <v>0</v>
      </c>
      <c r="K14" s="411">
        <f t="shared" si="3"/>
        <v>0</v>
      </c>
      <c r="L14" s="386">
        <v>19</v>
      </c>
      <c r="M14" s="406">
        <f>SUMIF(數據!$A:$A,$B14,數據!$E:$E)</f>
        <v>31</v>
      </c>
      <c r="N14" s="408">
        <f t="shared" si="7"/>
        <v>3100</v>
      </c>
      <c r="O14" s="386">
        <v>19</v>
      </c>
      <c r="P14" s="406">
        <f>SUMIF(數據!$A:$A,$B14,數據!$F:$F)</f>
        <v>0</v>
      </c>
      <c r="Q14" s="408">
        <f t="shared" si="8"/>
        <v>0</v>
      </c>
      <c r="R14" s="409">
        <f>SUMIF(數據!$A:$A,$B14,數據!$G:$G)</f>
        <v>3</v>
      </c>
      <c r="S14" s="391">
        <f t="shared" si="6"/>
        <v>900</v>
      </c>
    </row>
    <row r="15" spans="1:19" ht="26.25" customHeight="1">
      <c r="A15" s="393" t="s">
        <v>20</v>
      </c>
      <c r="B15" s="394" t="s">
        <v>105</v>
      </c>
      <c r="C15" s="395" t="s">
        <v>100</v>
      </c>
      <c r="D15" s="410">
        <f t="shared" si="0"/>
        <v>28750</v>
      </c>
      <c r="E15" s="405">
        <f t="shared" si="1"/>
        <v>1150</v>
      </c>
      <c r="F15" s="386">
        <v>19</v>
      </c>
      <c r="G15" s="406">
        <f>SUMIF(數據!$A:$A,$B15,數據!$C:$C)</f>
        <v>11.5</v>
      </c>
      <c r="H15" s="413">
        <f t="shared" si="2"/>
        <v>0.60526315789473684</v>
      </c>
      <c r="I15" s="386">
        <v>19</v>
      </c>
      <c r="J15" s="406">
        <f>SUMIF(數據!$A:$A,$B15,數據!$D:$D)</f>
        <v>0</v>
      </c>
      <c r="K15" s="413">
        <f t="shared" si="3"/>
        <v>0</v>
      </c>
      <c r="L15" s="386">
        <v>19</v>
      </c>
      <c r="M15" s="406">
        <f>SUMIF(數據!$A:$A,$B15,數據!$E:$E)</f>
        <v>8.5</v>
      </c>
      <c r="N15" s="408">
        <f t="shared" si="7"/>
        <v>850</v>
      </c>
      <c r="O15" s="386">
        <v>19</v>
      </c>
      <c r="P15" s="406">
        <f>SUMIF(數據!$A:$A,$B15,數據!$F:$F)</f>
        <v>0</v>
      </c>
      <c r="Q15" s="408">
        <f t="shared" si="8"/>
        <v>0</v>
      </c>
      <c r="R15" s="409">
        <f>SUMIF(數據!$A:$A,$B15,數據!$G:$G)</f>
        <v>1</v>
      </c>
      <c r="S15" s="391">
        <f t="shared" si="6"/>
        <v>300</v>
      </c>
    </row>
    <row r="16" spans="1:19" ht="26.25" customHeight="1">
      <c r="A16" s="393" t="s">
        <v>20</v>
      </c>
      <c r="B16" s="394" t="s">
        <v>102</v>
      </c>
      <c r="C16" s="395" t="s">
        <v>89</v>
      </c>
      <c r="D16" s="410">
        <f t="shared" si="0"/>
        <v>40000</v>
      </c>
      <c r="E16" s="405">
        <f t="shared" si="1"/>
        <v>1600</v>
      </c>
      <c r="F16" s="386">
        <v>19</v>
      </c>
      <c r="G16" s="406">
        <f>SUMIF(數據!$A:$A,$B16,數據!$C:$C)</f>
        <v>14.5</v>
      </c>
      <c r="H16" s="413">
        <f t="shared" si="2"/>
        <v>0.76315789473684215</v>
      </c>
      <c r="I16" s="386">
        <v>19</v>
      </c>
      <c r="J16" s="406">
        <f>SUMIF(數據!$A:$A,$B16,數據!$D:$D)</f>
        <v>0</v>
      </c>
      <c r="K16" s="413">
        <f t="shared" si="3"/>
        <v>0</v>
      </c>
      <c r="L16" s="386">
        <v>19</v>
      </c>
      <c r="M16" s="406">
        <f>SUMIF(數據!$A:$A,$B16,數據!$E:$E)</f>
        <v>13</v>
      </c>
      <c r="N16" s="408">
        <f t="shared" si="7"/>
        <v>1300</v>
      </c>
      <c r="O16" s="386">
        <v>19</v>
      </c>
      <c r="P16" s="406">
        <f>SUMIF(數據!$A:$A,$B16,數據!$F:$F)</f>
        <v>0</v>
      </c>
      <c r="Q16" s="408">
        <f t="shared" si="8"/>
        <v>0</v>
      </c>
      <c r="R16" s="409">
        <f>SUMIF(數據!$A:$A,$B16,數據!$G:$G)</f>
        <v>1</v>
      </c>
      <c r="S16" s="391">
        <f t="shared" si="6"/>
        <v>300</v>
      </c>
    </row>
    <row r="17" spans="1:19" ht="26.25" customHeight="1">
      <c r="A17" s="393" t="s">
        <v>20</v>
      </c>
      <c r="B17" s="394" t="s">
        <v>111</v>
      </c>
      <c r="C17" s="395" t="s">
        <v>104</v>
      </c>
      <c r="D17" s="410">
        <f t="shared" si="0"/>
        <v>26250</v>
      </c>
      <c r="E17" s="405">
        <f t="shared" si="1"/>
        <v>1050</v>
      </c>
      <c r="F17" s="386">
        <v>19</v>
      </c>
      <c r="G17" s="406">
        <f>SUMIF(數據!$A:$A,$B17,數據!$C:$C)</f>
        <v>12</v>
      </c>
      <c r="H17" s="413">
        <f t="shared" si="2"/>
        <v>0.63157894736842102</v>
      </c>
      <c r="I17" s="386">
        <v>19</v>
      </c>
      <c r="J17" s="406">
        <f>SUMIF(數據!$A:$A,$B17,數據!$D:$D)</f>
        <v>0</v>
      </c>
      <c r="K17" s="413">
        <f t="shared" si="3"/>
        <v>0</v>
      </c>
      <c r="L17" s="386">
        <v>19</v>
      </c>
      <c r="M17" s="406">
        <f>SUMIF(數據!$A:$A,$B17,數據!$E:$E)</f>
        <v>7.5</v>
      </c>
      <c r="N17" s="408">
        <f t="shared" si="7"/>
        <v>750</v>
      </c>
      <c r="O17" s="386">
        <v>19</v>
      </c>
      <c r="P17" s="406">
        <f>SUMIF(數據!$A:$A,$B17,數據!$F:$F)</f>
        <v>0</v>
      </c>
      <c r="Q17" s="408">
        <f t="shared" si="8"/>
        <v>0</v>
      </c>
      <c r="R17" s="409">
        <f>SUMIF(數據!$A:$A,$B17,數據!$G:$G)</f>
        <v>1</v>
      </c>
      <c r="S17" s="391">
        <f t="shared" si="6"/>
        <v>300</v>
      </c>
    </row>
    <row r="18" spans="1:19" ht="26.25" customHeight="1">
      <c r="A18" s="393" t="s">
        <v>21</v>
      </c>
      <c r="B18" s="394" t="s">
        <v>90</v>
      </c>
      <c r="C18" s="395" t="s">
        <v>91</v>
      </c>
      <c r="D18" s="410">
        <f t="shared" si="0"/>
        <v>70000</v>
      </c>
      <c r="E18" s="405">
        <f t="shared" si="1"/>
        <v>2800</v>
      </c>
      <c r="F18" s="386">
        <v>19</v>
      </c>
      <c r="G18" s="406">
        <f>SUMIF(數據!$A:$A,$B18,數據!$C:$C)</f>
        <v>22</v>
      </c>
      <c r="H18" s="413">
        <f t="shared" si="2"/>
        <v>1.1578947368421053</v>
      </c>
      <c r="I18" s="386">
        <v>19</v>
      </c>
      <c r="J18" s="406">
        <f>SUMIF(數據!$A:$A,$B18,數據!$D:$D)</f>
        <v>0</v>
      </c>
      <c r="K18" s="413">
        <f t="shared" si="3"/>
        <v>0</v>
      </c>
      <c r="L18" s="386">
        <v>19</v>
      </c>
      <c r="M18" s="406">
        <f>SUMIF(數據!$A:$A,$B18,數據!$E:$E)</f>
        <v>22</v>
      </c>
      <c r="N18" s="408">
        <f t="shared" si="7"/>
        <v>2200</v>
      </c>
      <c r="O18" s="386">
        <v>19</v>
      </c>
      <c r="P18" s="406">
        <f>SUMIF(數據!$A:$A,$B18,數據!$F:$F)</f>
        <v>0</v>
      </c>
      <c r="Q18" s="408">
        <f t="shared" si="8"/>
        <v>0</v>
      </c>
      <c r="R18" s="409">
        <f>SUMIF(數據!$A:$A,$B18,數據!$G:$G)</f>
        <v>2</v>
      </c>
      <c r="S18" s="391">
        <f t="shared" si="6"/>
        <v>600</v>
      </c>
    </row>
    <row r="19" spans="1:19" ht="26.25" customHeight="1">
      <c r="A19" s="393" t="s">
        <v>21</v>
      </c>
      <c r="B19" s="394" t="s">
        <v>109</v>
      </c>
      <c r="C19" s="395" t="s">
        <v>89</v>
      </c>
      <c r="D19" s="410">
        <f t="shared" si="0"/>
        <v>58750</v>
      </c>
      <c r="E19" s="405">
        <f t="shared" si="1"/>
        <v>2350</v>
      </c>
      <c r="F19" s="386">
        <v>19</v>
      </c>
      <c r="G19" s="406">
        <f>SUMIF(數據!$A:$A,$B19,數據!$C:$C)</f>
        <v>19</v>
      </c>
      <c r="H19" s="413">
        <f t="shared" si="2"/>
        <v>1</v>
      </c>
      <c r="I19" s="386">
        <v>19</v>
      </c>
      <c r="J19" s="406">
        <f>SUMIF(數據!$A:$A,$B19,數據!$D:$D)</f>
        <v>6.5</v>
      </c>
      <c r="K19" s="413">
        <f t="shared" si="3"/>
        <v>0.34210526315789475</v>
      </c>
      <c r="L19" s="386">
        <v>19</v>
      </c>
      <c r="M19" s="406">
        <f>SUMIF(數據!$A:$A,$B19,數據!$E:$E)</f>
        <v>17.5</v>
      </c>
      <c r="N19" s="408">
        <f t="shared" si="7"/>
        <v>1750</v>
      </c>
      <c r="O19" s="386">
        <v>19</v>
      </c>
      <c r="P19" s="406">
        <f>SUMIF(數據!$A:$A,$B19,數據!$F:$F)</f>
        <v>6.5</v>
      </c>
      <c r="Q19" s="408">
        <f t="shared" si="8"/>
        <v>0</v>
      </c>
      <c r="R19" s="409">
        <f>SUMIF(數據!$A:$A,$B19,數據!$G:$G)</f>
        <v>2</v>
      </c>
      <c r="S19" s="391">
        <f t="shared" si="6"/>
        <v>600</v>
      </c>
    </row>
    <row r="20" spans="1:19" ht="26.25" hidden="1" customHeight="1">
      <c r="A20" s="393"/>
      <c r="B20" s="394"/>
      <c r="C20" s="504"/>
      <c r="D20" s="410"/>
      <c r="E20" s="405"/>
      <c r="F20" s="386"/>
      <c r="G20" s="406"/>
      <c r="H20" s="411"/>
      <c r="I20" s="386"/>
      <c r="J20" s="406"/>
      <c r="K20" s="411"/>
      <c r="L20" s="386"/>
      <c r="M20" s="406"/>
      <c r="N20" s="408"/>
      <c r="O20" s="386"/>
      <c r="P20" s="406"/>
      <c r="Q20" s="408"/>
      <c r="R20" s="409"/>
      <c r="S20" s="391"/>
    </row>
    <row r="21" spans="1:19" ht="26.25" customHeight="1">
      <c r="A21" s="393" t="s">
        <v>21</v>
      </c>
      <c r="B21" s="394" t="s">
        <v>103</v>
      </c>
      <c r="C21" s="395" t="s">
        <v>104</v>
      </c>
      <c r="D21" s="410">
        <f t="shared" si="0"/>
        <v>30000</v>
      </c>
      <c r="E21" s="405">
        <f t="shared" si="1"/>
        <v>1200</v>
      </c>
      <c r="F21" s="386">
        <v>19</v>
      </c>
      <c r="G21" s="406">
        <f>SUMIF(數據!$A:$A,$B21,數據!$C:$C)</f>
        <v>12</v>
      </c>
      <c r="H21" s="411">
        <f t="shared" si="2"/>
        <v>0.63157894736842102</v>
      </c>
      <c r="I21" s="386">
        <v>19</v>
      </c>
      <c r="J21" s="406">
        <f>SUMIF(數據!$A:$A,$B21,數據!$D:$D)</f>
        <v>0</v>
      </c>
      <c r="K21" s="411">
        <f t="shared" si="3"/>
        <v>0</v>
      </c>
      <c r="L21" s="386">
        <v>19</v>
      </c>
      <c r="M21" s="406">
        <f>SUMIF(數據!$A:$A,$B21,數據!$E:$E)</f>
        <v>9</v>
      </c>
      <c r="N21" s="408">
        <f t="shared" si="7"/>
        <v>900</v>
      </c>
      <c r="O21" s="386">
        <v>19</v>
      </c>
      <c r="P21" s="406">
        <f>SUMIF(數據!$A:$A,$B21,數據!$F:$F)</f>
        <v>0</v>
      </c>
      <c r="Q21" s="408">
        <f t="shared" si="8"/>
        <v>0</v>
      </c>
      <c r="R21" s="409">
        <f>SUMIF(數據!$A:$A,$B21,數據!$G:$G)</f>
        <v>1</v>
      </c>
      <c r="S21" s="391">
        <f t="shared" si="6"/>
        <v>300</v>
      </c>
    </row>
    <row r="22" spans="1:19" ht="19.5" customHeight="1">
      <c r="A22" s="393" t="s">
        <v>21</v>
      </c>
      <c r="B22" s="394" t="s">
        <v>112</v>
      </c>
      <c r="C22" s="395" t="s">
        <v>113</v>
      </c>
      <c r="D22" s="410">
        <f t="shared" si="0"/>
        <v>13750</v>
      </c>
      <c r="E22" s="405">
        <f t="shared" si="1"/>
        <v>550</v>
      </c>
      <c r="F22" s="386">
        <v>8</v>
      </c>
      <c r="G22" s="406">
        <f>SUMIF(數據!$A:$A,$B22,數據!$C:$C)</f>
        <v>5.5</v>
      </c>
      <c r="H22" s="411">
        <f t="shared" si="2"/>
        <v>0.6875</v>
      </c>
      <c r="I22" s="386">
        <v>8</v>
      </c>
      <c r="J22" s="406">
        <f>SUMIF(數據!$A:$A,$B22,數據!$D:$D)</f>
        <v>2.5</v>
      </c>
      <c r="K22" s="411">
        <f t="shared" si="3"/>
        <v>0.3125</v>
      </c>
      <c r="L22" s="386">
        <v>8</v>
      </c>
      <c r="M22" s="406">
        <f>SUMIF(數據!$A:$A,$B22,數據!$E:$E)</f>
        <v>5.5</v>
      </c>
      <c r="N22" s="408">
        <f t="shared" si="7"/>
        <v>550</v>
      </c>
      <c r="O22" s="386">
        <v>8</v>
      </c>
      <c r="P22" s="406">
        <f>SUMIF(數據!$A:$A,$B22,數據!$F:$F)</f>
        <v>0</v>
      </c>
      <c r="Q22" s="408">
        <f t="shared" si="8"/>
        <v>0</v>
      </c>
      <c r="R22" s="409">
        <f>SUMIF(數據!$A:$A,$B22,數據!$G:$G)</f>
        <v>0</v>
      </c>
      <c r="S22" s="391">
        <f t="shared" si="6"/>
        <v>0</v>
      </c>
    </row>
  </sheetData>
  <autoFilter ref="A2:S22" xr:uid="{00000000-0001-0000-0900-000000000000}"/>
  <mergeCells count="6">
    <mergeCell ref="R1:S1"/>
    <mergeCell ref="A1:C1"/>
    <mergeCell ref="F1:H1"/>
    <mergeCell ref="I1:K1"/>
    <mergeCell ref="L1:N1"/>
    <mergeCell ref="O1:Q1"/>
  </mergeCells>
  <phoneticPr fontId="149" type="noConversion"/>
  <conditionalFormatting sqref="H3:H22 K3:K22">
    <cfRule type="cellIs" dxfId="3" priority="2" operator="lessThan">
      <formula>0.6</formula>
    </cfRule>
    <cfRule type="cellIs" dxfId="2" priority="3" operator="greaterThanOrEqual">
      <formula>0.6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BF1DE"/>
  </sheetPr>
  <dimension ref="A1:AC22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D6" sqref="AD6"/>
    </sheetView>
  </sheetViews>
  <sheetFormatPr defaultColWidth="8.5703125" defaultRowHeight="15.75" outlineLevelCol="1"/>
  <cols>
    <col min="1" max="1" width="12.42578125" customWidth="1"/>
    <col min="2" max="2" width="14" customWidth="1"/>
    <col min="3" max="3" width="13.42578125" customWidth="1"/>
    <col min="4" max="4" width="15.42578125" customWidth="1"/>
    <col min="5" max="5" width="18.42578125" customWidth="1"/>
    <col min="6" max="7" width="9.140625" hidden="1" customWidth="1" outlineLevel="1"/>
    <col min="8" max="8" width="14" hidden="1" customWidth="1" outlineLevel="1"/>
    <col min="9" max="9" width="9.140625" customWidth="1" collapsed="1"/>
    <col min="10" max="11" width="9.140625" customWidth="1"/>
    <col min="12" max="14" width="9.140625" hidden="1" customWidth="1" outlineLevel="1"/>
    <col min="15" max="15" width="9.140625" customWidth="1" collapsed="1"/>
    <col min="16" max="17" width="9.140625" customWidth="1"/>
    <col min="18" max="20" width="9.140625" hidden="1" customWidth="1" outlineLevel="1"/>
    <col min="21" max="21" width="9.140625" customWidth="1" collapsed="1"/>
    <col min="22" max="23" width="9.140625" customWidth="1"/>
    <col min="24" max="26" width="9.140625" hidden="1" customWidth="1" outlineLevel="1"/>
    <col min="27" max="27" width="9.140625" customWidth="1" collapsed="1"/>
    <col min="28" max="30" width="9.140625" customWidth="1"/>
  </cols>
  <sheetData>
    <row r="1" spans="1:29" ht="47.25" customHeight="1">
      <c r="A1" s="574" t="s">
        <v>271</v>
      </c>
      <c r="B1" s="574"/>
      <c r="C1" s="574"/>
      <c r="D1" s="400" t="s">
        <v>290</v>
      </c>
      <c r="E1" s="401" t="s">
        <v>291</v>
      </c>
      <c r="F1" s="575" t="s">
        <v>292</v>
      </c>
      <c r="G1" s="575"/>
      <c r="H1" s="575"/>
      <c r="I1" s="575" t="s">
        <v>293</v>
      </c>
      <c r="J1" s="575"/>
      <c r="K1" s="575"/>
      <c r="L1" s="576" t="s">
        <v>294</v>
      </c>
      <c r="M1" s="576"/>
      <c r="N1" s="576"/>
      <c r="O1" s="576" t="s">
        <v>295</v>
      </c>
      <c r="P1" s="576"/>
      <c r="Q1" s="576"/>
      <c r="R1" s="577" t="s">
        <v>296</v>
      </c>
      <c r="S1" s="577"/>
      <c r="T1" s="577"/>
      <c r="U1" s="577" t="s">
        <v>297</v>
      </c>
      <c r="V1" s="577"/>
      <c r="W1" s="577"/>
      <c r="X1" s="571" t="s">
        <v>298</v>
      </c>
      <c r="Y1" s="571"/>
      <c r="Z1" s="571"/>
      <c r="AA1" s="571" t="s">
        <v>299</v>
      </c>
      <c r="AB1" s="571"/>
      <c r="AC1" s="571"/>
    </row>
    <row r="2" spans="1:29" ht="26.25" customHeight="1">
      <c r="A2" s="379" t="s">
        <v>137</v>
      </c>
      <c r="B2" s="379" t="s">
        <v>7</v>
      </c>
      <c r="C2" s="379" t="s">
        <v>73</v>
      </c>
      <c r="D2" s="402" t="s">
        <v>300</v>
      </c>
      <c r="E2" s="380" t="s">
        <v>301</v>
      </c>
      <c r="F2" s="381" t="s">
        <v>231</v>
      </c>
      <c r="G2" s="381" t="s">
        <v>232</v>
      </c>
      <c r="H2" s="381" t="s">
        <v>49</v>
      </c>
      <c r="I2" s="381" t="s">
        <v>231</v>
      </c>
      <c r="J2" s="381" t="s">
        <v>232</v>
      </c>
      <c r="K2" s="381" t="s">
        <v>49</v>
      </c>
      <c r="L2" s="381" t="s">
        <v>231</v>
      </c>
      <c r="M2" s="381" t="s">
        <v>232</v>
      </c>
      <c r="N2" s="381" t="s">
        <v>233</v>
      </c>
      <c r="O2" s="381" t="s">
        <v>231</v>
      </c>
      <c r="P2" s="381" t="s">
        <v>232</v>
      </c>
      <c r="Q2" s="381" t="s">
        <v>233</v>
      </c>
      <c r="R2" s="381" t="s">
        <v>231</v>
      </c>
      <c r="S2" s="381" t="s">
        <v>232</v>
      </c>
      <c r="T2" s="381" t="s">
        <v>233</v>
      </c>
      <c r="U2" s="381" t="s">
        <v>231</v>
      </c>
      <c r="V2" s="381" t="s">
        <v>232</v>
      </c>
      <c r="W2" s="381" t="s">
        <v>233</v>
      </c>
      <c r="X2" s="381" t="s">
        <v>231</v>
      </c>
      <c r="Y2" s="381" t="s">
        <v>232</v>
      </c>
      <c r="Z2" s="381" t="s">
        <v>233</v>
      </c>
      <c r="AA2" s="381" t="s">
        <v>231</v>
      </c>
      <c r="AB2" s="381" t="s">
        <v>232</v>
      </c>
      <c r="AC2" s="381" t="s">
        <v>233</v>
      </c>
    </row>
    <row r="3" spans="1:29" ht="26.25" customHeight="1">
      <c r="A3" s="382" t="s">
        <v>17</v>
      </c>
      <c r="B3" s="383" t="s">
        <v>96</v>
      </c>
      <c r="C3" s="384" t="s">
        <v>91</v>
      </c>
      <c r="D3" s="388">
        <f t="shared" ref="D3:D22" si="0">E3*30</f>
        <v>54000</v>
      </c>
      <c r="E3" s="391">
        <f t="shared" ref="E3:E22" si="1">SUM(N3,Q3,T3,W3,Z3,AC3)</f>
        <v>1800</v>
      </c>
      <c r="F3" s="386">
        <v>25</v>
      </c>
      <c r="G3" s="387">
        <f>SUMIF(數據!$A:$A,$B3,數據!$J:$J)</f>
        <v>19</v>
      </c>
      <c r="H3" s="407">
        <f t="shared" ref="H3:H22" si="2">G3/F3</f>
        <v>0.76</v>
      </c>
      <c r="I3" s="386">
        <v>31</v>
      </c>
      <c r="J3" s="387">
        <f>SUMIF(數據!$A:$A,$B3,數據!$K:$K)</f>
        <v>3</v>
      </c>
      <c r="K3" s="407">
        <f t="shared" ref="K3:K22" si="3">J3/I3</f>
        <v>9.6774193548387094E-2</v>
      </c>
      <c r="L3" s="386">
        <v>9</v>
      </c>
      <c r="M3" s="387">
        <f>SUMIF(數據!$A:$A,$B3,數據!$L:$L)</f>
        <v>5</v>
      </c>
      <c r="N3" s="391">
        <f t="shared" ref="N3:N22" si="4">IF($H3&gt;=60%,M3*100,0)</f>
        <v>500</v>
      </c>
      <c r="O3" s="386">
        <v>12</v>
      </c>
      <c r="P3" s="387">
        <f>SUMIF(數據!$A:$A,$B3,數據!$M:$M)</f>
        <v>0</v>
      </c>
      <c r="Q3" s="391">
        <f t="shared" ref="Q3:Q22" si="5">IF($K3&lt;60%,0,P3*100)</f>
        <v>0</v>
      </c>
      <c r="R3" s="392">
        <v>8</v>
      </c>
      <c r="S3" s="387">
        <f>SUMIF(數據!$A:$A,$B3,數據!$N:$N)</f>
        <v>9</v>
      </c>
      <c r="T3" s="391">
        <f t="shared" ref="T3:T22" si="6">IF($H3&gt;=60%,S3*100,0)</f>
        <v>900</v>
      </c>
      <c r="U3" s="392">
        <v>9</v>
      </c>
      <c r="V3" s="387">
        <f>SUMIF(數據!$A:$A,$B3,數據!$O:$O)</f>
        <v>1</v>
      </c>
      <c r="W3" s="391">
        <f t="shared" ref="W3:W22" si="7">IF($K3&lt;60%,0,V3*100)</f>
        <v>0</v>
      </c>
      <c r="X3" s="392">
        <v>8</v>
      </c>
      <c r="Y3" s="387">
        <f>SUMIF(數據!$A:$A,$B3,數據!$R:$R)</f>
        <v>4</v>
      </c>
      <c r="Z3" s="391">
        <f t="shared" ref="Z3:Z22" si="8">IF($H3&gt;=60%,Y3*100,0)</f>
        <v>400</v>
      </c>
      <c r="AA3" s="392">
        <v>9</v>
      </c>
      <c r="AB3" s="387">
        <f>SUMIF(數據!$A:$A,$B3,數據!$S:$S)</f>
        <v>3</v>
      </c>
      <c r="AC3" s="391">
        <f>IF($K3&lt;60%,0,AB3*100)</f>
        <v>0</v>
      </c>
    </row>
    <row r="4" spans="1:29" ht="26.25" customHeight="1">
      <c r="A4" s="393" t="s">
        <v>17</v>
      </c>
      <c r="B4" s="394" t="s">
        <v>108</v>
      </c>
      <c r="C4" s="395" t="s">
        <v>89</v>
      </c>
      <c r="D4" s="410">
        <f t="shared" si="0"/>
        <v>81000</v>
      </c>
      <c r="E4" s="391">
        <f t="shared" si="1"/>
        <v>2700</v>
      </c>
      <c r="F4" s="396">
        <v>23</v>
      </c>
      <c r="G4" s="387">
        <f>SUMIF(數據!$A:$A,$B4,數據!$J:$J)</f>
        <v>26</v>
      </c>
      <c r="H4" s="411">
        <f t="shared" si="2"/>
        <v>1.1304347826086956</v>
      </c>
      <c r="I4" s="396">
        <v>29</v>
      </c>
      <c r="J4" s="387">
        <f>SUMIF(數據!$A:$A,$B4,數據!$K:$K)</f>
        <v>2</v>
      </c>
      <c r="K4" s="411">
        <f t="shared" si="3"/>
        <v>6.8965517241379309E-2</v>
      </c>
      <c r="L4" s="396">
        <v>9</v>
      </c>
      <c r="M4" s="387">
        <f>SUMIF(數據!$A:$A,$B4,數據!$L:$L)</f>
        <v>10</v>
      </c>
      <c r="N4" s="391">
        <f t="shared" si="4"/>
        <v>1000</v>
      </c>
      <c r="O4" s="396">
        <v>11</v>
      </c>
      <c r="P4" s="387">
        <f>SUMIF(數據!$A:$A,$B4,數據!$M:$M)</f>
        <v>1</v>
      </c>
      <c r="Q4" s="391">
        <f t="shared" si="5"/>
        <v>0</v>
      </c>
      <c r="R4" s="397">
        <v>7</v>
      </c>
      <c r="S4" s="387">
        <f>SUMIF(數據!$A:$A,$B4,數據!$N:$N)</f>
        <v>7</v>
      </c>
      <c r="T4" s="391">
        <f t="shared" si="6"/>
        <v>700</v>
      </c>
      <c r="U4" s="397">
        <v>8</v>
      </c>
      <c r="V4" s="387">
        <f>SUMIF(數據!$A:$A,$B4,數據!$O:$O)</f>
        <v>0</v>
      </c>
      <c r="W4" s="391">
        <f t="shared" si="7"/>
        <v>0</v>
      </c>
      <c r="X4" s="397">
        <v>7</v>
      </c>
      <c r="Y4" s="387">
        <f>SUMIF(數據!$A:$A,$B4,數據!$R:$R)</f>
        <v>10</v>
      </c>
      <c r="Z4" s="391">
        <f t="shared" si="8"/>
        <v>1000</v>
      </c>
      <c r="AA4" s="397">
        <v>8</v>
      </c>
      <c r="AB4" s="387">
        <f>SUMIF(數據!$A:$A,$B4,數據!$S:$S)</f>
        <v>1</v>
      </c>
      <c r="AC4" s="414">
        <f>IF(K4&lt;60%,0,AB4*100)</f>
        <v>0</v>
      </c>
    </row>
    <row r="5" spans="1:29" ht="26.25" customHeight="1">
      <c r="A5" s="393" t="s">
        <v>17</v>
      </c>
      <c r="B5" s="394" t="s">
        <v>101</v>
      </c>
      <c r="C5" s="395" t="s">
        <v>100</v>
      </c>
      <c r="D5" s="410">
        <f t="shared" si="0"/>
        <v>60000</v>
      </c>
      <c r="E5" s="391">
        <f t="shared" si="1"/>
        <v>2000</v>
      </c>
      <c r="F5" s="396">
        <v>22</v>
      </c>
      <c r="G5" s="387">
        <f>SUMIF(數據!$A:$A,$B5,數據!$J:$J)</f>
        <v>14</v>
      </c>
      <c r="H5" s="411">
        <f t="shared" si="2"/>
        <v>0.63636363636363635</v>
      </c>
      <c r="I5" s="396">
        <v>27</v>
      </c>
      <c r="J5" s="387">
        <f>SUMIF(數據!$A:$A,$B5,數據!$K:$K)</f>
        <v>2</v>
      </c>
      <c r="K5" s="411">
        <f t="shared" si="3"/>
        <v>7.407407407407407E-2</v>
      </c>
      <c r="L5" s="396">
        <v>9</v>
      </c>
      <c r="M5" s="387">
        <f>SUMIF(數據!$A:$A,$B5,數據!$L:$L)</f>
        <v>9</v>
      </c>
      <c r="N5" s="391">
        <f t="shared" si="4"/>
        <v>900</v>
      </c>
      <c r="O5" s="396">
        <v>10</v>
      </c>
      <c r="P5" s="387">
        <f>SUMIF(數據!$A:$A,$B5,數據!$M:$M)</f>
        <v>0</v>
      </c>
      <c r="Q5" s="391">
        <f t="shared" si="5"/>
        <v>0</v>
      </c>
      <c r="R5" s="397">
        <v>6</v>
      </c>
      <c r="S5" s="387">
        <f>SUMIF(數據!$A:$A,$B5,數據!$N:$N)</f>
        <v>7</v>
      </c>
      <c r="T5" s="391">
        <f t="shared" si="6"/>
        <v>700</v>
      </c>
      <c r="U5" s="397">
        <v>8</v>
      </c>
      <c r="V5" s="387">
        <f>SUMIF(數據!$A:$A,$B5,數據!$O:$O)</f>
        <v>0</v>
      </c>
      <c r="W5" s="391">
        <f t="shared" si="7"/>
        <v>0</v>
      </c>
      <c r="X5" s="397">
        <v>6</v>
      </c>
      <c r="Y5" s="387">
        <f>SUMIF(數據!$A:$A,$B5,數據!$R:$R)</f>
        <v>4</v>
      </c>
      <c r="Z5" s="391">
        <f t="shared" si="8"/>
        <v>400</v>
      </c>
      <c r="AA5" s="397">
        <v>8</v>
      </c>
      <c r="AB5" s="387">
        <f>SUMIF(數據!$A:$A,$B5,數據!$S:$S)</f>
        <v>0</v>
      </c>
      <c r="AC5" s="414">
        <f>IF(K5&lt;60%,0,AB5*100)</f>
        <v>0</v>
      </c>
    </row>
    <row r="6" spans="1:29" ht="26.25" customHeight="1">
      <c r="A6" s="393" t="s">
        <v>17</v>
      </c>
      <c r="B6" s="394" t="s">
        <v>106</v>
      </c>
      <c r="C6" s="395" t="s">
        <v>104</v>
      </c>
      <c r="D6" s="410">
        <f t="shared" si="0"/>
        <v>48000</v>
      </c>
      <c r="E6" s="391">
        <f t="shared" si="1"/>
        <v>1600</v>
      </c>
      <c r="F6" s="396">
        <v>19</v>
      </c>
      <c r="G6" s="387">
        <f>SUMIF(數據!$A:$A,$B6,數據!$J:$J)</f>
        <v>15</v>
      </c>
      <c r="H6" s="411">
        <f t="shared" si="2"/>
        <v>0.78947368421052633</v>
      </c>
      <c r="I6" s="396">
        <v>24</v>
      </c>
      <c r="J6" s="387">
        <f>SUMIF(數據!$A:$A,$B6,數據!$K:$K)</f>
        <v>1</v>
      </c>
      <c r="K6" s="411">
        <f t="shared" si="3"/>
        <v>4.1666666666666664E-2</v>
      </c>
      <c r="L6" s="396">
        <v>7</v>
      </c>
      <c r="M6" s="387">
        <f>SUMIF(數據!$A:$A,$B6,數據!$L:$L)</f>
        <v>5</v>
      </c>
      <c r="N6" s="391">
        <f t="shared" si="4"/>
        <v>500</v>
      </c>
      <c r="O6" s="396">
        <v>9</v>
      </c>
      <c r="P6" s="387">
        <f>SUMIF(數據!$A:$A,$B6,數據!$M:$M)</f>
        <v>0</v>
      </c>
      <c r="Q6" s="391">
        <f t="shared" si="5"/>
        <v>0</v>
      </c>
      <c r="R6" s="397">
        <v>6</v>
      </c>
      <c r="S6" s="387">
        <f>SUMIF(數據!$A:$A,$B6,數據!$N:$N)</f>
        <v>8</v>
      </c>
      <c r="T6" s="391">
        <f t="shared" si="6"/>
        <v>800</v>
      </c>
      <c r="U6" s="397">
        <v>7</v>
      </c>
      <c r="V6" s="387">
        <f>SUMIF(數據!$A:$A,$B6,數據!$O:$O)</f>
        <v>1</v>
      </c>
      <c r="W6" s="391">
        <f t="shared" si="7"/>
        <v>0</v>
      </c>
      <c r="X6" s="397">
        <v>6</v>
      </c>
      <c r="Y6" s="387">
        <f>SUMIF(數據!$A:$A,$B6,數據!$R:$R)</f>
        <v>3</v>
      </c>
      <c r="Z6" s="391">
        <f t="shared" si="8"/>
        <v>300</v>
      </c>
      <c r="AA6" s="397">
        <v>7</v>
      </c>
      <c r="AB6" s="387">
        <f>SUMIF(數據!$A:$A,$B6,數據!$S:$S)</f>
        <v>0</v>
      </c>
      <c r="AC6" s="414">
        <f>IF(K6&lt;60%,0,AB6*100)</f>
        <v>0</v>
      </c>
    </row>
    <row r="7" spans="1:29" ht="19.5" customHeight="1">
      <c r="A7" s="393" t="s">
        <v>22</v>
      </c>
      <c r="B7" s="394" t="s">
        <v>23</v>
      </c>
      <c r="C7" s="395" t="s">
        <v>95</v>
      </c>
      <c r="D7" s="410">
        <f>E7*30</f>
        <v>90000</v>
      </c>
      <c r="E7" s="391">
        <f>SUM(N7,Q7,T7,W7,Z7,AC7)</f>
        <v>3000</v>
      </c>
      <c r="F7" s="396">
        <v>19</v>
      </c>
      <c r="G7" s="387">
        <f>SUMIF(數據!$A:$A,$B7,數據!$J:$J)</f>
        <v>29</v>
      </c>
      <c r="H7" s="411">
        <f>G7/F7</f>
        <v>1.5263157894736843</v>
      </c>
      <c r="I7" s="396">
        <v>23</v>
      </c>
      <c r="J7" s="387">
        <f>SUMIF(數據!$A:$A,$B7,數據!$K:$K)</f>
        <v>4</v>
      </c>
      <c r="K7" s="411">
        <f>J7/I7</f>
        <v>0.17391304347826086</v>
      </c>
      <c r="L7" s="396">
        <v>7</v>
      </c>
      <c r="M7" s="387">
        <f>SUMIF(數據!$A:$A,$B7,數據!$L:$L)</f>
        <v>11</v>
      </c>
      <c r="N7" s="391">
        <f t="shared" si="4"/>
        <v>1100</v>
      </c>
      <c r="O7" s="396">
        <v>9</v>
      </c>
      <c r="P7" s="387">
        <f>SUMIF(數據!$A:$A,$B7,數據!$M:$M)</f>
        <v>1</v>
      </c>
      <c r="Q7" s="391">
        <f t="shared" si="5"/>
        <v>0</v>
      </c>
      <c r="R7" s="397">
        <v>5</v>
      </c>
      <c r="S7" s="387">
        <f>SUMIF(數據!$A:$A,$B7,數據!$N:$N)</f>
        <v>13</v>
      </c>
      <c r="T7" s="391">
        <f t="shared" si="6"/>
        <v>1300</v>
      </c>
      <c r="U7" s="397">
        <v>6</v>
      </c>
      <c r="V7" s="387">
        <f>SUMIF(數據!$A:$A,$B7,數據!$O:$O)</f>
        <v>1</v>
      </c>
      <c r="W7" s="391">
        <f t="shared" si="7"/>
        <v>0</v>
      </c>
      <c r="X7" s="397">
        <v>6</v>
      </c>
      <c r="Y7" s="387">
        <f>SUMIF(數據!$A:$A,$B7,數據!$R:$R)</f>
        <v>6</v>
      </c>
      <c r="Z7" s="391">
        <f t="shared" si="8"/>
        <v>600</v>
      </c>
      <c r="AA7" s="397">
        <v>7</v>
      </c>
      <c r="AB7" s="387">
        <f>SUMIF(數據!$A:$A,$B7,數據!$S:$S)</f>
        <v>2</v>
      </c>
      <c r="AC7" s="414">
        <f>IF(K7&lt;60%,0,AB7*100)</f>
        <v>0</v>
      </c>
    </row>
    <row r="8" spans="1:29" ht="26.25" customHeight="1">
      <c r="A8" s="393" t="s">
        <v>18</v>
      </c>
      <c r="B8" s="394" t="s">
        <v>97</v>
      </c>
      <c r="C8" s="395" t="s">
        <v>89</v>
      </c>
      <c r="D8" s="410">
        <f t="shared" si="0"/>
        <v>0</v>
      </c>
      <c r="E8" s="391">
        <f t="shared" si="1"/>
        <v>0</v>
      </c>
      <c r="F8" s="396">
        <v>24</v>
      </c>
      <c r="G8" s="387">
        <f>SUMIF(數據!$A:$A,$B8,數據!$J:$J)</f>
        <v>12</v>
      </c>
      <c r="H8" s="411">
        <f t="shared" si="2"/>
        <v>0.5</v>
      </c>
      <c r="I8" s="396">
        <v>29</v>
      </c>
      <c r="J8" s="387">
        <f>SUMIF(數據!$A:$A,$B8,數據!$K:$K)</f>
        <v>2</v>
      </c>
      <c r="K8" s="412">
        <f t="shared" si="3"/>
        <v>6.8965517241379309E-2</v>
      </c>
      <c r="L8" s="396">
        <v>9</v>
      </c>
      <c r="M8" s="387">
        <f>SUMIF(數據!$A:$A,$B8,數據!$L:$L)</f>
        <v>4</v>
      </c>
      <c r="N8" s="391">
        <f t="shared" si="4"/>
        <v>0</v>
      </c>
      <c r="O8" s="396">
        <v>11</v>
      </c>
      <c r="P8" s="387">
        <f>SUMIF(數據!$A:$A,$B8,數據!$M:$M)</f>
        <v>0</v>
      </c>
      <c r="Q8" s="391">
        <f t="shared" si="5"/>
        <v>0</v>
      </c>
      <c r="R8" s="397">
        <v>6</v>
      </c>
      <c r="S8" s="387">
        <f>SUMIF(數據!$A:$A,$B8,數據!$N:$N)</f>
        <v>2</v>
      </c>
      <c r="T8" s="391">
        <f t="shared" si="6"/>
        <v>0</v>
      </c>
      <c r="U8" s="397">
        <v>7</v>
      </c>
      <c r="V8" s="387">
        <f>SUMIF(數據!$A:$A,$B8,數據!$O:$O)</f>
        <v>0</v>
      </c>
      <c r="W8" s="391">
        <f t="shared" si="7"/>
        <v>0</v>
      </c>
      <c r="X8" s="397">
        <v>7</v>
      </c>
      <c r="Y8" s="387">
        <f>SUMIF(數據!$A:$A,$B8,數據!$R:$R)</f>
        <v>6</v>
      </c>
      <c r="Z8" s="391">
        <f t="shared" si="8"/>
        <v>0</v>
      </c>
      <c r="AA8" s="397">
        <v>9</v>
      </c>
      <c r="AB8" s="387">
        <f>SUMIF(數據!$A:$A,$B8,數據!$S:$S)</f>
        <v>0</v>
      </c>
      <c r="AC8" s="414">
        <f>IF(K8&lt;60%,0,AB8*100)</f>
        <v>0</v>
      </c>
    </row>
    <row r="9" spans="1:29" ht="26.25" customHeight="1">
      <c r="A9" s="393" t="s">
        <v>18</v>
      </c>
      <c r="B9" s="394" t="s">
        <v>98</v>
      </c>
      <c r="C9" s="395" t="s">
        <v>89</v>
      </c>
      <c r="D9" s="410">
        <f t="shared" si="0"/>
        <v>69000</v>
      </c>
      <c r="E9" s="391">
        <f t="shared" si="1"/>
        <v>2300</v>
      </c>
      <c r="F9" s="396">
        <v>24</v>
      </c>
      <c r="G9" s="387">
        <f>SUMIF(數據!$A:$A,$B9,數據!$J:$J)</f>
        <v>21</v>
      </c>
      <c r="H9" s="411">
        <f t="shared" si="2"/>
        <v>0.875</v>
      </c>
      <c r="I9" s="396">
        <v>29</v>
      </c>
      <c r="J9" s="387">
        <f>SUMIF(數據!$A:$A,$B9,數據!$K:$K)</f>
        <v>3</v>
      </c>
      <c r="K9" s="411">
        <f t="shared" si="3"/>
        <v>0.10344827586206896</v>
      </c>
      <c r="L9" s="396">
        <v>9</v>
      </c>
      <c r="M9" s="387">
        <f>SUMIF(數據!$A:$A,$B9,數據!$L:$L)</f>
        <v>13</v>
      </c>
      <c r="N9" s="391">
        <f t="shared" si="4"/>
        <v>1300</v>
      </c>
      <c r="O9" s="396">
        <v>11</v>
      </c>
      <c r="P9" s="387">
        <f>SUMIF(數據!$A:$A,$B9,數據!$M:$M)</f>
        <v>0</v>
      </c>
      <c r="Q9" s="391">
        <f t="shared" si="5"/>
        <v>0</v>
      </c>
      <c r="R9" s="397">
        <v>6</v>
      </c>
      <c r="S9" s="387">
        <f>SUMIF(數據!$A:$A,$B9,數據!$N:$N)</f>
        <v>4</v>
      </c>
      <c r="T9" s="391">
        <f t="shared" si="6"/>
        <v>400</v>
      </c>
      <c r="U9" s="397">
        <v>7</v>
      </c>
      <c r="V9" s="387">
        <f>SUMIF(數據!$A:$A,$B9,數據!$O:$O)</f>
        <v>1</v>
      </c>
      <c r="W9" s="391">
        <f t="shared" si="7"/>
        <v>0</v>
      </c>
      <c r="X9" s="397">
        <v>7</v>
      </c>
      <c r="Y9" s="387">
        <f>SUMIF(數據!$A:$A,$B9,數據!$R:$R)</f>
        <v>6</v>
      </c>
      <c r="Z9" s="391">
        <f t="shared" si="8"/>
        <v>600</v>
      </c>
      <c r="AA9" s="397">
        <v>9</v>
      </c>
      <c r="AB9" s="387">
        <f>SUMIF(數據!$A:$A,$B9,數據!$S:$S)</f>
        <v>2</v>
      </c>
      <c r="AC9" s="414">
        <f t="shared" ref="AC9:AC22" si="9">IF(K9&lt;60%,0,AB9*100)</f>
        <v>0</v>
      </c>
    </row>
    <row r="10" spans="1:29" ht="26.25" customHeight="1">
      <c r="A10" s="393" t="s">
        <v>18</v>
      </c>
      <c r="B10" s="394" t="s">
        <v>110</v>
      </c>
      <c r="C10" s="395" t="s">
        <v>104</v>
      </c>
      <c r="D10" s="410">
        <f t="shared" si="0"/>
        <v>42000</v>
      </c>
      <c r="E10" s="391">
        <f t="shared" si="1"/>
        <v>1400</v>
      </c>
      <c r="F10" s="396">
        <v>20</v>
      </c>
      <c r="G10" s="387">
        <f>SUMIF(數據!$A:$A,$B10,數據!$J:$J)</f>
        <v>12</v>
      </c>
      <c r="H10" s="411">
        <f t="shared" si="2"/>
        <v>0.6</v>
      </c>
      <c r="I10" s="396">
        <v>24</v>
      </c>
      <c r="J10" s="387">
        <f>SUMIF(數據!$A:$A,$B10,數據!$K:$K)</f>
        <v>3</v>
      </c>
      <c r="K10" s="412">
        <f t="shared" si="3"/>
        <v>0.125</v>
      </c>
      <c r="L10" s="396">
        <v>8</v>
      </c>
      <c r="M10" s="387">
        <f>SUMIF(數據!$A:$A,$B10,數據!$L:$L)</f>
        <v>7</v>
      </c>
      <c r="N10" s="391">
        <f t="shared" si="4"/>
        <v>700</v>
      </c>
      <c r="O10" s="396">
        <v>9</v>
      </c>
      <c r="P10" s="387">
        <f>SUMIF(數據!$A:$A,$B10,數據!$M:$M)</f>
        <v>1</v>
      </c>
      <c r="Q10" s="391">
        <f t="shared" si="5"/>
        <v>0</v>
      </c>
      <c r="R10" s="397">
        <v>5</v>
      </c>
      <c r="S10" s="387">
        <f>SUMIF(數據!$A:$A,$B10,數據!$N:$N)</f>
        <v>4</v>
      </c>
      <c r="T10" s="391">
        <f t="shared" si="6"/>
        <v>400</v>
      </c>
      <c r="U10" s="397">
        <v>5</v>
      </c>
      <c r="V10" s="387">
        <f>SUMIF(數據!$A:$A,$B10,數據!$O:$O)</f>
        <v>1</v>
      </c>
      <c r="W10" s="391">
        <f t="shared" si="7"/>
        <v>0</v>
      </c>
      <c r="X10" s="397">
        <v>6</v>
      </c>
      <c r="Y10" s="387">
        <f>SUMIF(數據!$A:$A,$B10,數據!$R:$R)</f>
        <v>3</v>
      </c>
      <c r="Z10" s="391">
        <f t="shared" si="8"/>
        <v>300</v>
      </c>
      <c r="AA10" s="397">
        <v>8</v>
      </c>
      <c r="AB10" s="387">
        <f>SUMIF(數據!$A:$A,$B10,數據!$S:$S)</f>
        <v>0</v>
      </c>
      <c r="AC10" s="414">
        <f t="shared" si="9"/>
        <v>0</v>
      </c>
    </row>
    <row r="11" spans="1:29" ht="26.25" customHeight="1">
      <c r="A11" s="393" t="s">
        <v>19</v>
      </c>
      <c r="B11" s="394" t="s">
        <v>99</v>
      </c>
      <c r="C11" s="395" t="s">
        <v>100</v>
      </c>
      <c r="D11" s="410">
        <f t="shared" si="0"/>
        <v>84000</v>
      </c>
      <c r="E11" s="391">
        <f t="shared" si="1"/>
        <v>2800</v>
      </c>
      <c r="F11" s="396">
        <v>21</v>
      </c>
      <c r="G11" s="387">
        <f>SUMIF(數據!$A:$A,$B11,數據!$J:$J)</f>
        <v>22</v>
      </c>
      <c r="H11" s="411">
        <f t="shared" si="2"/>
        <v>1.0476190476190477</v>
      </c>
      <c r="I11" s="396">
        <v>26</v>
      </c>
      <c r="J11" s="387">
        <f>SUMIF(數據!$A:$A,$B11,數據!$K:$K)</f>
        <v>2</v>
      </c>
      <c r="K11" s="412">
        <f t="shared" si="3"/>
        <v>7.6923076923076927E-2</v>
      </c>
      <c r="L11" s="396">
        <v>8</v>
      </c>
      <c r="M11" s="387">
        <f>SUMIF(數據!$A:$A,$B11,數據!$L:$L)</f>
        <v>11</v>
      </c>
      <c r="N11" s="391">
        <f t="shared" si="4"/>
        <v>1100</v>
      </c>
      <c r="O11" s="396">
        <v>10</v>
      </c>
      <c r="P11" s="387">
        <f>SUMIF(數據!$A:$A,$B11,數據!$M:$M)</f>
        <v>2</v>
      </c>
      <c r="Q11" s="391">
        <f t="shared" si="5"/>
        <v>0</v>
      </c>
      <c r="R11" s="397">
        <v>6</v>
      </c>
      <c r="S11" s="387">
        <f>SUMIF(數據!$A:$A,$B11,數據!$N:$N)</f>
        <v>10</v>
      </c>
      <c r="T11" s="391">
        <f t="shared" si="6"/>
        <v>1000</v>
      </c>
      <c r="U11" s="397">
        <v>7</v>
      </c>
      <c r="V11" s="387">
        <f>SUMIF(數據!$A:$A,$B11,數據!$O:$O)</f>
        <v>0</v>
      </c>
      <c r="W11" s="391">
        <f t="shared" si="7"/>
        <v>0</v>
      </c>
      <c r="X11" s="397">
        <v>7</v>
      </c>
      <c r="Y11" s="387">
        <f>SUMIF(數據!$A:$A,$B11,數據!$R:$R)</f>
        <v>7</v>
      </c>
      <c r="Z11" s="391">
        <f t="shared" si="8"/>
        <v>700</v>
      </c>
      <c r="AA11" s="397">
        <v>8</v>
      </c>
      <c r="AB11" s="387">
        <f>SUMIF(數據!$A:$A,$B11,數據!$S:$S)</f>
        <v>1</v>
      </c>
      <c r="AC11" s="414">
        <f t="shared" si="9"/>
        <v>0</v>
      </c>
    </row>
    <row r="12" spans="1:29" ht="26.25" customHeight="1">
      <c r="A12" s="393" t="s">
        <v>19</v>
      </c>
      <c r="B12" s="394" t="s">
        <v>88</v>
      </c>
      <c r="C12" s="395" t="s">
        <v>89</v>
      </c>
      <c r="D12" s="410">
        <f t="shared" si="0"/>
        <v>78000</v>
      </c>
      <c r="E12" s="391">
        <f t="shared" si="1"/>
        <v>2600</v>
      </c>
      <c r="F12" s="396">
        <v>27</v>
      </c>
      <c r="G12" s="387">
        <f>SUMIF(數據!$A:$A,$B12,數據!$J:$J)</f>
        <v>27</v>
      </c>
      <c r="H12" s="411">
        <f t="shared" si="2"/>
        <v>1</v>
      </c>
      <c r="I12" s="396">
        <v>33</v>
      </c>
      <c r="J12" s="387">
        <f>SUMIF(數據!$A:$A,$B12,數據!$K:$K)</f>
        <v>0</v>
      </c>
      <c r="K12" s="411">
        <f t="shared" si="3"/>
        <v>0</v>
      </c>
      <c r="L12" s="396">
        <v>10</v>
      </c>
      <c r="M12" s="387">
        <f>SUMIF(數據!$A:$A,$B12,數據!$L:$L)</f>
        <v>10</v>
      </c>
      <c r="N12" s="391">
        <f t="shared" si="4"/>
        <v>1000</v>
      </c>
      <c r="O12" s="396">
        <v>13</v>
      </c>
      <c r="P12" s="387">
        <f>SUMIF(數據!$A:$A,$B12,數據!$M:$M)</f>
        <v>0</v>
      </c>
      <c r="Q12" s="391">
        <f t="shared" si="5"/>
        <v>0</v>
      </c>
      <c r="R12" s="397">
        <v>8</v>
      </c>
      <c r="S12" s="387">
        <f>SUMIF(數據!$A:$A,$B12,數據!$N:$N)</f>
        <v>10</v>
      </c>
      <c r="T12" s="391">
        <f t="shared" si="6"/>
        <v>1000</v>
      </c>
      <c r="U12" s="397">
        <v>9</v>
      </c>
      <c r="V12" s="387">
        <f>SUMIF(數據!$A:$A,$B12,數據!$O:$O)</f>
        <v>0</v>
      </c>
      <c r="W12" s="391">
        <f t="shared" si="7"/>
        <v>0</v>
      </c>
      <c r="X12" s="397">
        <v>9</v>
      </c>
      <c r="Y12" s="387">
        <f>SUMIF(數據!$A:$A,$B12,數據!$R:$R)</f>
        <v>6</v>
      </c>
      <c r="Z12" s="391">
        <f t="shared" si="8"/>
        <v>600</v>
      </c>
      <c r="AA12" s="397">
        <v>10</v>
      </c>
      <c r="AB12" s="387">
        <f>SUMIF(數據!$A:$A,$B12,數據!$S:$S)</f>
        <v>0</v>
      </c>
      <c r="AC12" s="414">
        <f t="shared" si="9"/>
        <v>0</v>
      </c>
    </row>
    <row r="13" spans="1:29" ht="26.25" customHeight="1">
      <c r="A13" s="393" t="s">
        <v>19</v>
      </c>
      <c r="B13" s="394" t="s">
        <v>107</v>
      </c>
      <c r="C13" s="395" t="s">
        <v>104</v>
      </c>
      <c r="D13" s="410">
        <f t="shared" si="0"/>
        <v>39000</v>
      </c>
      <c r="E13" s="391">
        <f t="shared" si="1"/>
        <v>1300</v>
      </c>
      <c r="F13" s="396">
        <v>19</v>
      </c>
      <c r="G13" s="387">
        <f>SUMIF(數據!$A:$A,$B13,數據!$J:$J)</f>
        <v>13</v>
      </c>
      <c r="H13" s="411">
        <f t="shared" si="2"/>
        <v>0.68421052631578949</v>
      </c>
      <c r="I13" s="396">
        <v>23</v>
      </c>
      <c r="J13" s="387">
        <f>SUMIF(數據!$A:$A,$B13,數據!$K:$K)</f>
        <v>3</v>
      </c>
      <c r="K13" s="411">
        <f t="shared" si="3"/>
        <v>0.13043478260869565</v>
      </c>
      <c r="L13" s="396">
        <v>7</v>
      </c>
      <c r="M13" s="387">
        <f>SUMIF(數據!$A:$A,$B13,數據!$L:$L)</f>
        <v>5</v>
      </c>
      <c r="N13" s="391">
        <f t="shared" si="4"/>
        <v>500</v>
      </c>
      <c r="O13" s="396">
        <v>9</v>
      </c>
      <c r="P13" s="387">
        <f>SUMIF(數據!$A:$A,$B13,數據!$M:$M)</f>
        <v>0</v>
      </c>
      <c r="Q13" s="391">
        <f t="shared" si="5"/>
        <v>0</v>
      </c>
      <c r="R13" s="397">
        <v>5</v>
      </c>
      <c r="S13" s="387">
        <f>SUMIF(數據!$A:$A,$B13,數據!$N:$N)</f>
        <v>5</v>
      </c>
      <c r="T13" s="391">
        <f t="shared" si="6"/>
        <v>500</v>
      </c>
      <c r="U13" s="397">
        <v>6</v>
      </c>
      <c r="V13" s="387">
        <f>SUMIF(數據!$A:$A,$B13,數據!$O:$O)</f>
        <v>1</v>
      </c>
      <c r="W13" s="391">
        <f t="shared" si="7"/>
        <v>0</v>
      </c>
      <c r="X13" s="397">
        <v>6</v>
      </c>
      <c r="Y13" s="387">
        <f>SUMIF(數據!$A:$A,$B13,數據!$R:$R)</f>
        <v>3</v>
      </c>
      <c r="Z13" s="391">
        <f t="shared" si="8"/>
        <v>300</v>
      </c>
      <c r="AA13" s="397">
        <v>7</v>
      </c>
      <c r="AB13" s="387">
        <f>SUMIF(數據!$A:$A,$B13,數據!$S:$S)</f>
        <v>1</v>
      </c>
      <c r="AC13" s="414">
        <f t="shared" si="9"/>
        <v>0</v>
      </c>
    </row>
    <row r="14" spans="1:29" ht="26.25" customHeight="1">
      <c r="A14" s="393" t="s">
        <v>20</v>
      </c>
      <c r="B14" s="394" t="s">
        <v>93</v>
      </c>
      <c r="C14" s="395" t="s">
        <v>91</v>
      </c>
      <c r="D14" s="410">
        <f t="shared" si="0"/>
        <v>126000</v>
      </c>
      <c r="E14" s="391">
        <f t="shared" si="1"/>
        <v>4200</v>
      </c>
      <c r="F14" s="396">
        <v>29</v>
      </c>
      <c r="G14" s="387">
        <f>SUMIF(數據!$A:$A,$B14,數據!$J:$J)</f>
        <v>31</v>
      </c>
      <c r="H14" s="411">
        <f t="shared" si="2"/>
        <v>1.0689655172413792</v>
      </c>
      <c r="I14" s="396">
        <v>35</v>
      </c>
      <c r="J14" s="387">
        <f>SUMIF(數據!$A:$A,$B14,數據!$K:$K)</f>
        <v>0</v>
      </c>
      <c r="K14" s="411">
        <f t="shared" si="3"/>
        <v>0</v>
      </c>
      <c r="L14" s="396">
        <v>11</v>
      </c>
      <c r="M14" s="387">
        <f>SUMIF(數據!$A:$A,$B14,數據!$L:$L)</f>
        <v>20</v>
      </c>
      <c r="N14" s="391">
        <f t="shared" si="4"/>
        <v>2000</v>
      </c>
      <c r="O14" s="396">
        <v>13</v>
      </c>
      <c r="P14" s="387">
        <f>SUMIF(數據!$A:$A,$B14,數據!$M:$M)</f>
        <v>0</v>
      </c>
      <c r="Q14" s="391">
        <f t="shared" si="5"/>
        <v>0</v>
      </c>
      <c r="R14" s="397">
        <v>8</v>
      </c>
      <c r="S14" s="387">
        <f>SUMIF(數據!$A:$A,$B14,數據!$N:$N)</f>
        <v>8</v>
      </c>
      <c r="T14" s="391">
        <f t="shared" si="6"/>
        <v>800</v>
      </c>
      <c r="U14" s="397">
        <v>10</v>
      </c>
      <c r="V14" s="387">
        <f>SUMIF(數據!$A:$A,$B14,數據!$O:$O)</f>
        <v>0</v>
      </c>
      <c r="W14" s="391">
        <f t="shared" si="7"/>
        <v>0</v>
      </c>
      <c r="X14" s="397">
        <v>9</v>
      </c>
      <c r="Y14" s="387">
        <f>SUMIF(數據!$A:$A,$B14,數據!$R:$R)</f>
        <v>14</v>
      </c>
      <c r="Z14" s="391">
        <f t="shared" si="8"/>
        <v>1400</v>
      </c>
      <c r="AA14" s="397">
        <v>10</v>
      </c>
      <c r="AB14" s="387">
        <f>SUMIF(數據!$A:$A,$B14,數據!$S:$S)</f>
        <v>0</v>
      </c>
      <c r="AC14" s="414">
        <f t="shared" si="9"/>
        <v>0</v>
      </c>
    </row>
    <row r="15" spans="1:29" ht="26.25" customHeight="1">
      <c r="A15" s="393" t="s">
        <v>20</v>
      </c>
      <c r="B15" s="394" t="s">
        <v>105</v>
      </c>
      <c r="C15" s="395" t="s">
        <v>100</v>
      </c>
      <c r="D15" s="410">
        <f t="shared" si="0"/>
        <v>78000</v>
      </c>
      <c r="E15" s="391">
        <f t="shared" si="1"/>
        <v>2600</v>
      </c>
      <c r="F15" s="396">
        <v>31</v>
      </c>
      <c r="G15" s="387">
        <f>SUMIF(數據!$A:$A,$B15,數據!$J:$J)</f>
        <v>27</v>
      </c>
      <c r="H15" s="411">
        <f t="shared" si="2"/>
        <v>0.87096774193548387</v>
      </c>
      <c r="I15" s="396">
        <v>38</v>
      </c>
      <c r="J15" s="387">
        <f>SUMIF(數據!$A:$A,$B15,數據!$K:$K)</f>
        <v>1</v>
      </c>
      <c r="K15" s="413">
        <f t="shared" si="3"/>
        <v>2.6315789473684209E-2</v>
      </c>
      <c r="L15" s="396">
        <v>12</v>
      </c>
      <c r="M15" s="387">
        <f>SUMIF(數據!$A:$A,$B15,數據!$L:$L)</f>
        <v>13</v>
      </c>
      <c r="N15" s="391">
        <f t="shared" si="4"/>
        <v>1300</v>
      </c>
      <c r="O15" s="396">
        <v>14</v>
      </c>
      <c r="P15" s="387">
        <f>SUMIF(數據!$A:$A,$B15,數據!$M:$M)</f>
        <v>0</v>
      </c>
      <c r="Q15" s="391">
        <f t="shared" si="5"/>
        <v>0</v>
      </c>
      <c r="R15" s="397">
        <v>9</v>
      </c>
      <c r="S15" s="387">
        <f>SUMIF(數據!$A:$A,$B15,數據!$N:$N)</f>
        <v>6</v>
      </c>
      <c r="T15" s="391">
        <f t="shared" si="6"/>
        <v>600</v>
      </c>
      <c r="U15" s="397">
        <v>10</v>
      </c>
      <c r="V15" s="387">
        <f>SUMIF(數據!$A:$A,$B15,數據!$O:$O)</f>
        <v>1</v>
      </c>
      <c r="W15" s="391">
        <f t="shared" si="7"/>
        <v>0</v>
      </c>
      <c r="X15" s="397">
        <v>9</v>
      </c>
      <c r="Y15" s="387">
        <f>SUMIF(數據!$A:$A,$B15,數據!$R:$R)</f>
        <v>7</v>
      </c>
      <c r="Z15" s="391">
        <f t="shared" si="8"/>
        <v>700</v>
      </c>
      <c r="AA15" s="397">
        <v>11</v>
      </c>
      <c r="AB15" s="387">
        <f>SUMIF(數據!$A:$A,$B15,數據!$S:$S)</f>
        <v>0</v>
      </c>
      <c r="AC15" s="414">
        <f t="shared" si="9"/>
        <v>0</v>
      </c>
    </row>
    <row r="16" spans="1:29" ht="26.25" customHeight="1">
      <c r="A16" s="393" t="s">
        <v>20</v>
      </c>
      <c r="B16" s="394" t="s">
        <v>102</v>
      </c>
      <c r="C16" s="395" t="s">
        <v>89</v>
      </c>
      <c r="D16" s="410">
        <f t="shared" si="0"/>
        <v>54000</v>
      </c>
      <c r="E16" s="391">
        <f t="shared" si="1"/>
        <v>1800</v>
      </c>
      <c r="F16" s="396">
        <v>27</v>
      </c>
      <c r="G16" s="387">
        <f>SUMIF(數據!$A:$A,$B16,數據!$J:$J)</f>
        <v>20</v>
      </c>
      <c r="H16" s="411">
        <f t="shared" si="2"/>
        <v>0.7407407407407407</v>
      </c>
      <c r="I16" s="396">
        <v>33</v>
      </c>
      <c r="J16" s="387">
        <f>SUMIF(數據!$A:$A,$B16,數據!$K:$K)</f>
        <v>0</v>
      </c>
      <c r="K16" s="413">
        <f t="shared" si="3"/>
        <v>0</v>
      </c>
      <c r="L16" s="396">
        <v>10</v>
      </c>
      <c r="M16" s="387">
        <f>SUMIF(數據!$A:$A,$B16,數據!$L:$L)</f>
        <v>7</v>
      </c>
      <c r="N16" s="391">
        <f t="shared" si="4"/>
        <v>700</v>
      </c>
      <c r="O16" s="396">
        <v>13</v>
      </c>
      <c r="P16" s="387">
        <f>SUMIF(數據!$A:$A,$B16,數據!$M:$M)</f>
        <v>0</v>
      </c>
      <c r="Q16" s="391">
        <f t="shared" si="5"/>
        <v>0</v>
      </c>
      <c r="R16" s="397">
        <v>7</v>
      </c>
      <c r="S16" s="387">
        <f>SUMIF(數據!$A:$A,$B16,數據!$N:$N)</f>
        <v>5</v>
      </c>
      <c r="T16" s="391">
        <f t="shared" si="6"/>
        <v>500</v>
      </c>
      <c r="U16" s="397">
        <v>9</v>
      </c>
      <c r="V16" s="387">
        <f>SUMIF(數據!$A:$A,$B16,數據!$O:$O)</f>
        <v>0</v>
      </c>
      <c r="W16" s="391">
        <f t="shared" si="7"/>
        <v>0</v>
      </c>
      <c r="X16" s="397">
        <v>8</v>
      </c>
      <c r="Y16" s="387">
        <f>SUMIF(數據!$A:$A,$B16,數據!$R:$R)</f>
        <v>6</v>
      </c>
      <c r="Z16" s="391">
        <f t="shared" si="8"/>
        <v>600</v>
      </c>
      <c r="AA16" s="397">
        <v>10</v>
      </c>
      <c r="AB16" s="387">
        <f>SUMIF(數據!$A:$A,$B16,數據!$S:$S)</f>
        <v>1</v>
      </c>
      <c r="AC16" s="414">
        <f t="shared" si="9"/>
        <v>0</v>
      </c>
    </row>
    <row r="17" spans="1:29" ht="26.25" customHeight="1">
      <c r="A17" s="393" t="s">
        <v>20</v>
      </c>
      <c r="B17" s="394" t="s">
        <v>111</v>
      </c>
      <c r="C17" s="395" t="s">
        <v>104</v>
      </c>
      <c r="D17" s="410">
        <f t="shared" si="0"/>
        <v>66000</v>
      </c>
      <c r="E17" s="391">
        <f t="shared" si="1"/>
        <v>2200</v>
      </c>
      <c r="F17" s="396">
        <v>18</v>
      </c>
      <c r="G17" s="387">
        <f>SUMIF(數據!$A:$A,$B17,數據!$J:$J)</f>
        <v>18</v>
      </c>
      <c r="H17" s="411">
        <f t="shared" si="2"/>
        <v>1</v>
      </c>
      <c r="I17" s="396">
        <v>23</v>
      </c>
      <c r="J17" s="387">
        <f>SUMIF(數據!$A:$A,$B17,數據!$K:$K)</f>
        <v>0</v>
      </c>
      <c r="K17" s="413">
        <f t="shared" si="3"/>
        <v>0</v>
      </c>
      <c r="L17" s="396">
        <v>7</v>
      </c>
      <c r="M17" s="387">
        <f>SUMIF(數據!$A:$A,$B17,數據!$L:$L)</f>
        <v>8</v>
      </c>
      <c r="N17" s="391">
        <f t="shared" si="4"/>
        <v>800</v>
      </c>
      <c r="O17" s="396">
        <v>9</v>
      </c>
      <c r="P17" s="387">
        <f>SUMIF(數據!$A:$A,$B17,數據!$M:$M)</f>
        <v>0</v>
      </c>
      <c r="Q17" s="391">
        <f t="shared" si="5"/>
        <v>0</v>
      </c>
      <c r="R17" s="397">
        <v>5</v>
      </c>
      <c r="S17" s="387">
        <f>SUMIF(數據!$A:$A,$B17,數據!$N:$N)</f>
        <v>7</v>
      </c>
      <c r="T17" s="391">
        <f t="shared" si="6"/>
        <v>700</v>
      </c>
      <c r="U17" s="397">
        <v>6</v>
      </c>
      <c r="V17" s="387">
        <f>SUMIF(數據!$A:$A,$B17,數據!$O:$O)</f>
        <v>0</v>
      </c>
      <c r="W17" s="391">
        <f t="shared" si="7"/>
        <v>0</v>
      </c>
      <c r="X17" s="397">
        <v>5</v>
      </c>
      <c r="Y17" s="387">
        <f>SUMIF(數據!$A:$A,$B17,數據!$R:$R)</f>
        <v>7</v>
      </c>
      <c r="Z17" s="391">
        <f t="shared" si="8"/>
        <v>700</v>
      </c>
      <c r="AA17" s="397">
        <v>7</v>
      </c>
      <c r="AB17" s="387">
        <f>SUMIF(數據!$A:$A,$B17,數據!$S:$S)</f>
        <v>0</v>
      </c>
      <c r="AC17" s="414">
        <f t="shared" si="9"/>
        <v>0</v>
      </c>
    </row>
    <row r="18" spans="1:29" ht="26.25" customHeight="1">
      <c r="A18" s="393" t="s">
        <v>21</v>
      </c>
      <c r="B18" s="394" t="s">
        <v>90</v>
      </c>
      <c r="C18" s="395" t="s">
        <v>91</v>
      </c>
      <c r="D18" s="410">
        <f t="shared" si="0"/>
        <v>93000</v>
      </c>
      <c r="E18" s="391">
        <f t="shared" si="1"/>
        <v>3100</v>
      </c>
      <c r="F18" s="396">
        <v>27</v>
      </c>
      <c r="G18" s="387">
        <f>SUMIF(數據!$A:$A,$B18,數據!$J:$J)</f>
        <v>30</v>
      </c>
      <c r="H18" s="411">
        <f t="shared" si="2"/>
        <v>1.1111111111111112</v>
      </c>
      <c r="I18" s="396">
        <v>33</v>
      </c>
      <c r="J18" s="387">
        <f>SUMIF(數據!$A:$A,$B18,數據!$K:$K)</f>
        <v>5</v>
      </c>
      <c r="K18" s="413">
        <f t="shared" si="3"/>
        <v>0.15151515151515152</v>
      </c>
      <c r="L18" s="396">
        <v>10</v>
      </c>
      <c r="M18" s="387">
        <f>SUMIF(數據!$A:$A,$B18,數據!$L:$L)</f>
        <v>15</v>
      </c>
      <c r="N18" s="391">
        <f t="shared" si="4"/>
        <v>1500</v>
      </c>
      <c r="O18" s="396">
        <v>13</v>
      </c>
      <c r="P18" s="387">
        <f>SUMIF(數據!$A:$A,$B18,數據!$M:$M)</f>
        <v>2</v>
      </c>
      <c r="Q18" s="391">
        <f t="shared" si="5"/>
        <v>0</v>
      </c>
      <c r="R18" s="397">
        <v>7</v>
      </c>
      <c r="S18" s="387">
        <f>SUMIF(數據!$A:$A,$B18,數據!$N:$N)</f>
        <v>8</v>
      </c>
      <c r="T18" s="391">
        <f t="shared" si="6"/>
        <v>800</v>
      </c>
      <c r="U18" s="397">
        <v>8</v>
      </c>
      <c r="V18" s="387">
        <f>SUMIF(數據!$A:$A,$B18,數據!$O:$O)</f>
        <v>2</v>
      </c>
      <c r="W18" s="391">
        <f t="shared" si="7"/>
        <v>0</v>
      </c>
      <c r="X18" s="397">
        <v>8</v>
      </c>
      <c r="Y18" s="387">
        <f>SUMIF(數據!$A:$A,$B18,數據!$R:$R)</f>
        <v>8</v>
      </c>
      <c r="Z18" s="391">
        <f t="shared" si="8"/>
        <v>800</v>
      </c>
      <c r="AA18" s="397">
        <v>9</v>
      </c>
      <c r="AB18" s="387">
        <f>SUMIF(數據!$A:$A,$B18,數據!$S:$S)</f>
        <v>0</v>
      </c>
      <c r="AC18" s="414">
        <f t="shared" si="9"/>
        <v>0</v>
      </c>
    </row>
    <row r="19" spans="1:29" ht="26.25" customHeight="1">
      <c r="A19" s="393" t="s">
        <v>21</v>
      </c>
      <c r="B19" s="394" t="s">
        <v>109</v>
      </c>
      <c r="C19" s="395" t="s">
        <v>89</v>
      </c>
      <c r="D19" s="410">
        <f t="shared" si="0"/>
        <v>81000</v>
      </c>
      <c r="E19" s="391">
        <f t="shared" si="1"/>
        <v>2700</v>
      </c>
      <c r="F19" s="396">
        <v>24</v>
      </c>
      <c r="G19" s="387">
        <f>SUMIF(數據!$A:$A,$B19,數據!$J:$J)</f>
        <v>20</v>
      </c>
      <c r="H19" s="411">
        <f t="shared" si="2"/>
        <v>0.83333333333333337</v>
      </c>
      <c r="I19" s="396">
        <v>29</v>
      </c>
      <c r="J19" s="387">
        <f>SUMIF(數據!$A:$A,$B19,數據!$K:$K)</f>
        <v>2</v>
      </c>
      <c r="K19" s="413">
        <f t="shared" si="3"/>
        <v>6.8965517241379309E-2</v>
      </c>
      <c r="L19" s="396">
        <v>9</v>
      </c>
      <c r="M19" s="387">
        <f>SUMIF(數據!$A:$A,$B19,數據!$L:$L)</f>
        <v>11</v>
      </c>
      <c r="N19" s="391">
        <f t="shared" si="4"/>
        <v>1100</v>
      </c>
      <c r="O19" s="396">
        <v>11</v>
      </c>
      <c r="P19" s="387">
        <f>SUMIF(數據!$A:$A,$B19,數據!$M:$M)</f>
        <v>0</v>
      </c>
      <c r="Q19" s="391">
        <f t="shared" si="5"/>
        <v>0</v>
      </c>
      <c r="R19" s="397">
        <v>6</v>
      </c>
      <c r="S19" s="387">
        <f>SUMIF(數據!$A:$A,$B19,數據!$N:$N)</f>
        <v>9</v>
      </c>
      <c r="T19" s="391">
        <f t="shared" si="6"/>
        <v>900</v>
      </c>
      <c r="U19" s="397">
        <v>7</v>
      </c>
      <c r="V19" s="387">
        <f>SUMIF(數據!$A:$A,$B19,數據!$O:$O)</f>
        <v>0</v>
      </c>
      <c r="W19" s="391">
        <f t="shared" si="7"/>
        <v>0</v>
      </c>
      <c r="X19" s="397">
        <v>7</v>
      </c>
      <c r="Y19" s="387">
        <f>SUMIF(數據!$A:$A,$B19,數據!$R:$R)</f>
        <v>7</v>
      </c>
      <c r="Z19" s="391">
        <f t="shared" si="8"/>
        <v>700</v>
      </c>
      <c r="AA19" s="397">
        <v>8</v>
      </c>
      <c r="AB19" s="387">
        <f>SUMIF(數據!$A:$A,$B19,數據!$S:$S)</f>
        <v>0</v>
      </c>
      <c r="AC19" s="414">
        <f t="shared" si="9"/>
        <v>0</v>
      </c>
    </row>
    <row r="20" spans="1:29" ht="26.25" hidden="1" customHeight="1">
      <c r="A20" s="393"/>
      <c r="B20" s="394"/>
      <c r="C20" s="504"/>
      <c r="D20" s="410"/>
      <c r="E20" s="391"/>
      <c r="F20" s="396"/>
      <c r="G20" s="387"/>
      <c r="H20" s="411"/>
      <c r="I20" s="396"/>
      <c r="J20" s="387"/>
      <c r="K20" s="411"/>
      <c r="L20" s="396"/>
      <c r="M20" s="387"/>
      <c r="N20" s="391"/>
      <c r="O20" s="396"/>
      <c r="P20" s="387"/>
      <c r="Q20" s="391"/>
      <c r="R20" s="397"/>
      <c r="S20" s="387"/>
      <c r="T20" s="391"/>
      <c r="U20" s="397"/>
      <c r="V20" s="387"/>
      <c r="W20" s="391"/>
      <c r="X20" s="397"/>
      <c r="Y20" s="387"/>
      <c r="Z20" s="391"/>
      <c r="AA20" s="397"/>
      <c r="AB20" s="387"/>
      <c r="AC20" s="414"/>
    </row>
    <row r="21" spans="1:29" ht="26.25" customHeight="1">
      <c r="A21" s="393" t="s">
        <v>21</v>
      </c>
      <c r="B21" s="394" t="s">
        <v>103</v>
      </c>
      <c r="C21" s="395" t="s">
        <v>104</v>
      </c>
      <c r="D21" s="410">
        <f t="shared" si="0"/>
        <v>51000</v>
      </c>
      <c r="E21" s="391">
        <f t="shared" si="1"/>
        <v>1700</v>
      </c>
      <c r="F21" s="396">
        <v>19</v>
      </c>
      <c r="G21" s="387">
        <f>SUMIF(數據!$A:$A,$B21,數據!$J:$J)</f>
        <v>15</v>
      </c>
      <c r="H21" s="411">
        <f t="shared" si="2"/>
        <v>0.78947368421052633</v>
      </c>
      <c r="I21" s="396">
        <v>24</v>
      </c>
      <c r="J21" s="387">
        <f>SUMIF(數據!$A:$A,$B21,數據!$K:$K)</f>
        <v>0</v>
      </c>
      <c r="K21" s="411">
        <f t="shared" si="3"/>
        <v>0</v>
      </c>
      <c r="L21" s="396">
        <v>7</v>
      </c>
      <c r="M21" s="387">
        <f>SUMIF(數據!$A:$A,$B21,數據!$L:$L)</f>
        <v>10</v>
      </c>
      <c r="N21" s="391">
        <f t="shared" si="4"/>
        <v>1000</v>
      </c>
      <c r="O21" s="396">
        <v>9</v>
      </c>
      <c r="P21" s="387">
        <f>SUMIF(數據!$A:$A,$B21,數據!$M:$M)</f>
        <v>0</v>
      </c>
      <c r="Q21" s="391">
        <f t="shared" si="5"/>
        <v>0</v>
      </c>
      <c r="R21" s="397">
        <v>5</v>
      </c>
      <c r="S21" s="387">
        <f>SUMIF(數據!$A:$A,$B21,數據!$N:$N)</f>
        <v>5</v>
      </c>
      <c r="T21" s="391">
        <f t="shared" si="6"/>
        <v>500</v>
      </c>
      <c r="U21" s="397">
        <v>6</v>
      </c>
      <c r="V21" s="387">
        <f>SUMIF(數據!$A:$A,$B21,數據!$O:$O)</f>
        <v>0</v>
      </c>
      <c r="W21" s="391">
        <f t="shared" si="7"/>
        <v>0</v>
      </c>
      <c r="X21" s="397">
        <v>5</v>
      </c>
      <c r="Y21" s="387">
        <f>SUMIF(數據!$A:$A,$B21,數據!$R:$R)</f>
        <v>2</v>
      </c>
      <c r="Z21" s="391">
        <f t="shared" si="8"/>
        <v>200</v>
      </c>
      <c r="AA21" s="397">
        <v>7</v>
      </c>
      <c r="AB21" s="387">
        <f>SUMIF(數據!$A:$A,$B21,數據!$S:$S)</f>
        <v>0</v>
      </c>
      <c r="AC21" s="414">
        <f t="shared" si="9"/>
        <v>0</v>
      </c>
    </row>
    <row r="22" spans="1:29" ht="26.25" customHeight="1">
      <c r="A22" s="393" t="s">
        <v>21</v>
      </c>
      <c r="B22" s="394" t="s">
        <v>112</v>
      </c>
      <c r="C22" s="395" t="s">
        <v>113</v>
      </c>
      <c r="D22" s="410">
        <f t="shared" si="0"/>
        <v>57000</v>
      </c>
      <c r="E22" s="391">
        <f t="shared" si="1"/>
        <v>1900</v>
      </c>
      <c r="F22" s="396">
        <v>14</v>
      </c>
      <c r="G22" s="387">
        <f>SUMIF(數據!$A:$A,$B22,數據!$J:$J)</f>
        <v>15</v>
      </c>
      <c r="H22" s="411">
        <f t="shared" si="2"/>
        <v>1.0714285714285714</v>
      </c>
      <c r="I22" s="396">
        <v>16</v>
      </c>
      <c r="J22" s="387">
        <f>SUMIF(數據!$A:$A,$B22,數據!$K:$K)</f>
        <v>0</v>
      </c>
      <c r="K22" s="411">
        <f t="shared" si="3"/>
        <v>0</v>
      </c>
      <c r="L22" s="396">
        <v>5</v>
      </c>
      <c r="M22" s="387">
        <f>SUMIF(數據!$A:$A,$B22,數據!$L:$L)</f>
        <v>11</v>
      </c>
      <c r="N22" s="391">
        <f t="shared" si="4"/>
        <v>1100</v>
      </c>
      <c r="O22" s="396">
        <v>7</v>
      </c>
      <c r="P22" s="387">
        <f>SUMIF(數據!$A:$A,$B22,數據!$M:$M)</f>
        <v>0</v>
      </c>
      <c r="Q22" s="391">
        <f t="shared" si="5"/>
        <v>0</v>
      </c>
      <c r="R22" s="397">
        <v>3</v>
      </c>
      <c r="S22" s="387">
        <f>SUMIF(數據!$A:$A,$B22,數據!$N:$N)</f>
        <v>3</v>
      </c>
      <c r="T22" s="391">
        <f t="shared" si="6"/>
        <v>300</v>
      </c>
      <c r="U22" s="397">
        <v>4</v>
      </c>
      <c r="V22" s="387">
        <f>SUMIF(數據!$A:$A,$B22,數據!$O:$O)</f>
        <v>0</v>
      </c>
      <c r="W22" s="391">
        <f t="shared" si="7"/>
        <v>0</v>
      </c>
      <c r="X22" s="397">
        <v>4</v>
      </c>
      <c r="Y22" s="387">
        <f>SUMIF(數據!$A:$A,$B22,數據!$R:$R)</f>
        <v>5</v>
      </c>
      <c r="Z22" s="391">
        <f t="shared" si="8"/>
        <v>500</v>
      </c>
      <c r="AA22" s="397">
        <v>4</v>
      </c>
      <c r="AB22" s="387">
        <f>SUMIF(數據!$A:$A,$B22,數據!$S:$S)</f>
        <v>0</v>
      </c>
      <c r="AC22" s="414">
        <f t="shared" si="9"/>
        <v>0</v>
      </c>
    </row>
  </sheetData>
  <autoFilter ref="A2:AD22" xr:uid="{00000000-0001-0000-0A00-000000000000}"/>
  <mergeCells count="9">
    <mergeCell ref="R1:T1"/>
    <mergeCell ref="U1:W1"/>
    <mergeCell ref="X1:Z1"/>
    <mergeCell ref="AA1:AC1"/>
    <mergeCell ref="A1:C1"/>
    <mergeCell ref="F1:H1"/>
    <mergeCell ref="I1:K1"/>
    <mergeCell ref="L1:N1"/>
    <mergeCell ref="O1:Q1"/>
  </mergeCells>
  <phoneticPr fontId="149" type="noConversion"/>
  <conditionalFormatting sqref="H3:H22 K3:K22">
    <cfRule type="cellIs" dxfId="1" priority="2" operator="lessThan">
      <formula>0.6</formula>
    </cfRule>
    <cfRule type="cellIs" dxfId="0" priority="3" operator="greaterThanOrEqual">
      <formula>0.6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BF1DE"/>
    <pageSetUpPr fitToPage="1"/>
  </sheetPr>
  <dimension ref="A1:AF22"/>
  <sheetViews>
    <sheetView tabSelected="1" topLeftCell="C1" zoomScale="90" zoomScaleNormal="90" workbookViewId="0">
      <pane xSplit="1" ySplit="3" topLeftCell="D4" activePane="bottomRight" state="frozen"/>
      <selection activeCell="C1" sqref="C1"/>
      <selection pane="topRight" activeCell="D1" sqref="D1"/>
      <selection pane="bottomLeft" activeCell="C4" sqref="C4"/>
      <selection pane="bottomRight" activeCell="H11" sqref="H11"/>
    </sheetView>
  </sheetViews>
  <sheetFormatPr defaultColWidth="12.85546875" defaultRowHeight="15.75"/>
  <sheetData>
    <row r="1" spans="1:32" ht="36" customHeight="1">
      <c r="A1" s="578" t="s">
        <v>302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</row>
    <row r="2" spans="1:32" ht="36" customHeight="1">
      <c r="A2" s="579" t="s">
        <v>303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</row>
    <row r="3" spans="1:32" ht="36" customHeight="1">
      <c r="A3" s="415" t="s">
        <v>304</v>
      </c>
      <c r="B3" s="415" t="s">
        <v>8</v>
      </c>
      <c r="C3" s="415" t="s">
        <v>7</v>
      </c>
      <c r="D3" s="415" t="s">
        <v>73</v>
      </c>
      <c r="E3" s="415" t="s">
        <v>305</v>
      </c>
      <c r="F3" s="415" t="s">
        <v>306</v>
      </c>
      <c r="G3" s="416" t="s">
        <v>307</v>
      </c>
      <c r="H3" s="416" t="s">
        <v>308</v>
      </c>
      <c r="I3" s="416" t="s">
        <v>309</v>
      </c>
      <c r="J3" s="416" t="s">
        <v>310</v>
      </c>
      <c r="K3" s="416" t="s">
        <v>311</v>
      </c>
      <c r="L3" s="416" t="s">
        <v>312</v>
      </c>
      <c r="M3" s="415" t="s">
        <v>199</v>
      </c>
      <c r="N3" s="415" t="s">
        <v>313</v>
      </c>
      <c r="O3" s="415" t="s">
        <v>314</v>
      </c>
      <c r="P3" s="416" t="s">
        <v>315</v>
      </c>
      <c r="Q3" s="415" t="s">
        <v>316</v>
      </c>
      <c r="R3" s="415" t="s">
        <v>317</v>
      </c>
      <c r="S3" s="415" t="s">
        <v>318</v>
      </c>
      <c r="T3" s="415" t="s">
        <v>319</v>
      </c>
    </row>
    <row r="4" spans="1:32" ht="36" customHeight="1">
      <c r="A4" s="168" t="s">
        <v>320</v>
      </c>
      <c r="B4" s="417" t="s">
        <v>17</v>
      </c>
      <c r="C4" s="383" t="s">
        <v>96</v>
      </c>
      <c r="D4" s="384" t="s">
        <v>91</v>
      </c>
      <c r="E4" s="168" t="s">
        <v>321</v>
      </c>
      <c r="F4" s="168">
        <v>100000</v>
      </c>
      <c r="G4" s="168">
        <v>38</v>
      </c>
      <c r="H4" s="168">
        <v>307</v>
      </c>
      <c r="I4" s="168">
        <v>56</v>
      </c>
      <c r="J4" s="168">
        <v>21</v>
      </c>
      <c r="K4" s="168">
        <v>25</v>
      </c>
      <c r="L4" s="168">
        <v>17</v>
      </c>
      <c r="M4" s="168">
        <v>17</v>
      </c>
      <c r="N4" s="168">
        <v>46</v>
      </c>
      <c r="O4" s="168">
        <v>21</v>
      </c>
      <c r="P4" s="168">
        <v>12</v>
      </c>
      <c r="Q4" s="168">
        <v>5</v>
      </c>
      <c r="R4" s="168">
        <v>1</v>
      </c>
      <c r="S4" s="168">
        <v>5</v>
      </c>
      <c r="T4" s="168">
        <v>20526</v>
      </c>
      <c r="V4" s="418"/>
      <c r="W4" s="418"/>
      <c r="X4" s="418"/>
      <c r="Y4" s="418"/>
      <c r="Z4" s="418"/>
      <c r="AA4" s="418"/>
      <c r="AB4" s="418"/>
      <c r="AC4" s="418"/>
      <c r="AD4" s="418"/>
      <c r="AE4" s="418"/>
      <c r="AF4" s="418"/>
    </row>
    <row r="5" spans="1:32" ht="36" customHeight="1">
      <c r="A5" s="168" t="s">
        <v>322</v>
      </c>
      <c r="B5" s="417" t="s">
        <v>17</v>
      </c>
      <c r="C5" s="394" t="s">
        <v>108</v>
      </c>
      <c r="D5" s="395" t="s">
        <v>425</v>
      </c>
      <c r="E5" s="168" t="s">
        <v>323</v>
      </c>
      <c r="F5" s="168">
        <v>90000</v>
      </c>
      <c r="G5" s="168">
        <v>38</v>
      </c>
      <c r="H5" s="168">
        <v>288</v>
      </c>
      <c r="I5" s="168">
        <v>52</v>
      </c>
      <c r="J5" s="168">
        <v>20</v>
      </c>
      <c r="K5" s="168">
        <v>23</v>
      </c>
      <c r="L5" s="168">
        <v>15</v>
      </c>
      <c r="M5" s="168">
        <v>15</v>
      </c>
      <c r="N5" s="168">
        <v>43</v>
      </c>
      <c r="O5" s="168">
        <v>20</v>
      </c>
      <c r="P5" s="168">
        <v>12</v>
      </c>
      <c r="Q5" s="168">
        <v>5</v>
      </c>
      <c r="R5" s="168">
        <v>1</v>
      </c>
      <c r="S5" s="168">
        <v>5</v>
      </c>
      <c r="T5" s="168">
        <v>20526</v>
      </c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</row>
    <row r="6" spans="1:32" ht="36" customHeight="1">
      <c r="A6" s="168" t="s">
        <v>324</v>
      </c>
      <c r="B6" s="419" t="s">
        <v>17</v>
      </c>
      <c r="C6" s="394" t="s">
        <v>101</v>
      </c>
      <c r="D6" s="395" t="s">
        <v>100</v>
      </c>
      <c r="E6" s="168" t="s">
        <v>323</v>
      </c>
      <c r="F6" s="419">
        <v>80000</v>
      </c>
      <c r="G6" s="419">
        <v>38</v>
      </c>
      <c r="H6" s="419">
        <v>269</v>
      </c>
      <c r="I6" s="419">
        <v>49</v>
      </c>
      <c r="J6" s="419">
        <v>19</v>
      </c>
      <c r="K6" s="419">
        <v>21</v>
      </c>
      <c r="L6" s="419">
        <v>14</v>
      </c>
      <c r="M6" s="419">
        <v>14</v>
      </c>
      <c r="N6" s="419">
        <v>40</v>
      </c>
      <c r="O6" s="419">
        <v>19</v>
      </c>
      <c r="P6" s="419">
        <v>11</v>
      </c>
      <c r="Q6" s="419">
        <v>5</v>
      </c>
      <c r="R6" s="419">
        <v>1</v>
      </c>
      <c r="S6" s="419">
        <v>5</v>
      </c>
      <c r="T6" s="419">
        <v>20526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</row>
    <row r="7" spans="1:32" ht="36" customHeight="1">
      <c r="A7" s="168" t="s">
        <v>325</v>
      </c>
      <c r="B7" s="417" t="s">
        <v>17</v>
      </c>
      <c r="C7" s="394" t="s">
        <v>106</v>
      </c>
      <c r="D7" s="395" t="s">
        <v>104</v>
      </c>
      <c r="E7" s="168" t="s">
        <v>323</v>
      </c>
      <c r="F7" s="419">
        <v>70000</v>
      </c>
      <c r="G7" s="419">
        <v>38</v>
      </c>
      <c r="H7" s="419">
        <v>236</v>
      </c>
      <c r="I7" s="419">
        <v>43</v>
      </c>
      <c r="J7" s="419">
        <v>16</v>
      </c>
      <c r="K7" s="419">
        <v>19</v>
      </c>
      <c r="L7" s="419">
        <v>13</v>
      </c>
      <c r="M7" s="419">
        <v>13</v>
      </c>
      <c r="N7" s="419">
        <v>36</v>
      </c>
      <c r="O7" s="419">
        <v>16</v>
      </c>
      <c r="P7" s="419">
        <v>9</v>
      </c>
      <c r="Q7" s="419">
        <v>5</v>
      </c>
      <c r="R7" s="419">
        <v>1</v>
      </c>
      <c r="S7" s="419">
        <v>5</v>
      </c>
      <c r="T7" s="419">
        <v>20526</v>
      </c>
      <c r="V7" s="418"/>
      <c r="W7" s="418"/>
      <c r="X7" s="418"/>
      <c r="Y7" s="418"/>
      <c r="Z7" s="418"/>
      <c r="AA7" s="418"/>
      <c r="AB7" s="418"/>
      <c r="AC7" s="418"/>
      <c r="AD7" s="418"/>
      <c r="AE7" s="418"/>
      <c r="AF7" s="418"/>
    </row>
    <row r="8" spans="1:32" s="421" customFormat="1" ht="36" customHeight="1">
      <c r="A8" s="420" t="s">
        <v>326</v>
      </c>
      <c r="B8" s="156" t="s">
        <v>18</v>
      </c>
      <c r="C8" s="394" t="s">
        <v>97</v>
      </c>
      <c r="D8" s="395" t="s">
        <v>425</v>
      </c>
      <c r="E8" s="168" t="s">
        <v>323</v>
      </c>
      <c r="F8" s="156">
        <v>90000</v>
      </c>
      <c r="G8" s="156">
        <v>38</v>
      </c>
      <c r="H8" s="156">
        <v>293</v>
      </c>
      <c r="I8" s="156">
        <v>53</v>
      </c>
      <c r="J8" s="156">
        <v>20</v>
      </c>
      <c r="K8" s="156">
        <v>24</v>
      </c>
      <c r="L8" s="156">
        <v>16</v>
      </c>
      <c r="M8" s="156">
        <v>13</v>
      </c>
      <c r="N8" s="156">
        <v>44</v>
      </c>
      <c r="O8" s="156">
        <v>21</v>
      </c>
      <c r="P8" s="156">
        <v>14</v>
      </c>
      <c r="Q8" s="156">
        <v>5</v>
      </c>
      <c r="R8" s="156">
        <v>1</v>
      </c>
      <c r="S8" s="156">
        <v>5</v>
      </c>
      <c r="T8" s="419">
        <v>20526</v>
      </c>
      <c r="V8" s="422"/>
      <c r="W8" s="422"/>
      <c r="X8" s="422"/>
      <c r="Y8" s="422"/>
      <c r="Z8" s="422"/>
      <c r="AA8" s="422"/>
      <c r="AB8" s="422"/>
      <c r="AC8" s="422"/>
      <c r="AD8" s="422"/>
      <c r="AE8" s="422"/>
      <c r="AF8" s="422"/>
    </row>
    <row r="9" spans="1:32" ht="36" customHeight="1">
      <c r="A9" s="168" t="s">
        <v>327</v>
      </c>
      <c r="B9" s="417" t="s">
        <v>18</v>
      </c>
      <c r="C9" s="394" t="s">
        <v>98</v>
      </c>
      <c r="D9" s="395" t="s">
        <v>425</v>
      </c>
      <c r="E9" s="168" t="s">
        <v>323</v>
      </c>
      <c r="F9" s="419">
        <v>90000</v>
      </c>
      <c r="G9" s="419">
        <v>38</v>
      </c>
      <c r="H9" s="419">
        <v>293</v>
      </c>
      <c r="I9" s="419">
        <v>53</v>
      </c>
      <c r="J9" s="419">
        <v>20</v>
      </c>
      <c r="K9" s="419">
        <v>24</v>
      </c>
      <c r="L9" s="419">
        <v>16</v>
      </c>
      <c r="M9" s="419">
        <v>13</v>
      </c>
      <c r="N9" s="419">
        <v>44</v>
      </c>
      <c r="O9" s="419">
        <v>20</v>
      </c>
      <c r="P9" s="419">
        <v>13</v>
      </c>
      <c r="Q9" s="419">
        <v>5</v>
      </c>
      <c r="R9" s="419">
        <v>1</v>
      </c>
      <c r="S9" s="419">
        <v>5</v>
      </c>
      <c r="T9" s="419">
        <v>20526</v>
      </c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</row>
    <row r="10" spans="1:32" ht="36" customHeight="1">
      <c r="A10" s="168" t="s">
        <v>328</v>
      </c>
      <c r="B10" s="417" t="s">
        <v>18</v>
      </c>
      <c r="C10" s="394" t="s">
        <v>110</v>
      </c>
      <c r="D10" s="395" t="s">
        <v>104</v>
      </c>
      <c r="E10" s="168" t="s">
        <v>323</v>
      </c>
      <c r="F10" s="419">
        <v>70000</v>
      </c>
      <c r="G10" s="419">
        <v>38</v>
      </c>
      <c r="H10" s="419">
        <v>241</v>
      </c>
      <c r="I10" s="419">
        <v>44</v>
      </c>
      <c r="J10" s="419">
        <v>17</v>
      </c>
      <c r="K10" s="419">
        <v>19</v>
      </c>
      <c r="L10" s="419">
        <v>14</v>
      </c>
      <c r="M10" s="419">
        <v>10</v>
      </c>
      <c r="N10" s="419">
        <v>36</v>
      </c>
      <c r="O10" s="419">
        <v>17</v>
      </c>
      <c r="P10" s="419">
        <v>11</v>
      </c>
      <c r="Q10" s="419">
        <v>5</v>
      </c>
      <c r="R10" s="419">
        <v>1</v>
      </c>
      <c r="S10" s="419">
        <v>5</v>
      </c>
      <c r="T10" s="419">
        <v>20526</v>
      </c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</row>
    <row r="11" spans="1:32" ht="36" customHeight="1">
      <c r="A11" s="168" t="s">
        <v>329</v>
      </c>
      <c r="B11" s="417" t="s">
        <v>19</v>
      </c>
      <c r="C11" s="394" t="s">
        <v>99</v>
      </c>
      <c r="D11" s="395" t="s">
        <v>100</v>
      </c>
      <c r="E11" s="168" t="s">
        <v>323</v>
      </c>
      <c r="F11" s="419">
        <v>80000</v>
      </c>
      <c r="G11" s="419">
        <v>38</v>
      </c>
      <c r="H11" s="419">
        <v>259</v>
      </c>
      <c r="I11" s="419">
        <v>47</v>
      </c>
      <c r="J11" s="419">
        <v>18</v>
      </c>
      <c r="K11" s="419">
        <v>20</v>
      </c>
      <c r="L11" s="419">
        <v>15</v>
      </c>
      <c r="M11" s="419">
        <v>13</v>
      </c>
      <c r="N11" s="419">
        <v>39</v>
      </c>
      <c r="O11" s="419">
        <v>18</v>
      </c>
      <c r="P11" s="419">
        <v>11</v>
      </c>
      <c r="Q11" s="419">
        <v>5</v>
      </c>
      <c r="R11" s="419">
        <v>1</v>
      </c>
      <c r="S11" s="419">
        <v>5</v>
      </c>
      <c r="T11" s="419">
        <v>20526</v>
      </c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</row>
    <row r="12" spans="1:32" ht="36" customHeight="1">
      <c r="A12" s="168" t="s">
        <v>330</v>
      </c>
      <c r="B12" s="417" t="s">
        <v>19</v>
      </c>
      <c r="C12" s="394" t="s">
        <v>88</v>
      </c>
      <c r="D12" s="395" t="s">
        <v>425</v>
      </c>
      <c r="E12" s="168" t="s">
        <v>432</v>
      </c>
      <c r="F12" s="419">
        <v>90000</v>
      </c>
      <c r="G12" s="419">
        <v>38</v>
      </c>
      <c r="H12" s="419">
        <v>332</v>
      </c>
      <c r="I12" s="419">
        <v>60</v>
      </c>
      <c r="J12" s="419">
        <v>23</v>
      </c>
      <c r="K12" s="419">
        <v>26</v>
      </c>
      <c r="L12" s="419">
        <v>19</v>
      </c>
      <c r="M12" s="419">
        <v>17</v>
      </c>
      <c r="N12" s="419">
        <v>50</v>
      </c>
      <c r="O12" s="419">
        <v>23</v>
      </c>
      <c r="P12" s="419">
        <v>15</v>
      </c>
      <c r="Q12" s="419">
        <v>5</v>
      </c>
      <c r="R12" s="419">
        <v>1</v>
      </c>
      <c r="S12" s="419">
        <v>5</v>
      </c>
      <c r="T12" s="419">
        <v>20526</v>
      </c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</row>
    <row r="13" spans="1:32" ht="36" customHeight="1">
      <c r="A13" s="168" t="s">
        <v>331</v>
      </c>
      <c r="B13" s="417" t="s">
        <v>19</v>
      </c>
      <c r="C13" s="394" t="s">
        <v>107</v>
      </c>
      <c r="D13" s="395" t="s">
        <v>104</v>
      </c>
      <c r="E13" s="168" t="s">
        <v>323</v>
      </c>
      <c r="F13" s="419">
        <v>70000</v>
      </c>
      <c r="G13" s="419">
        <v>38</v>
      </c>
      <c r="H13" s="419">
        <v>228</v>
      </c>
      <c r="I13" s="419">
        <v>42</v>
      </c>
      <c r="J13" s="419">
        <v>16</v>
      </c>
      <c r="K13" s="419">
        <v>18</v>
      </c>
      <c r="L13" s="419">
        <v>13</v>
      </c>
      <c r="M13" s="419">
        <v>11</v>
      </c>
      <c r="N13" s="419">
        <v>34</v>
      </c>
      <c r="O13" s="419">
        <v>16</v>
      </c>
      <c r="P13" s="419">
        <v>10</v>
      </c>
      <c r="Q13" s="419">
        <v>5</v>
      </c>
      <c r="R13" s="419">
        <v>1</v>
      </c>
      <c r="S13" s="419">
        <v>5</v>
      </c>
      <c r="T13" s="419">
        <v>20526</v>
      </c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</row>
    <row r="14" spans="1:32" ht="36" customHeight="1">
      <c r="A14" s="168" t="s">
        <v>332</v>
      </c>
      <c r="B14" s="417" t="s">
        <v>20</v>
      </c>
      <c r="C14" s="394" t="s">
        <v>93</v>
      </c>
      <c r="D14" s="395" t="s">
        <v>91</v>
      </c>
      <c r="E14" s="168" t="s">
        <v>321</v>
      </c>
      <c r="F14" s="419">
        <v>100000</v>
      </c>
      <c r="G14" s="419">
        <v>38</v>
      </c>
      <c r="H14" s="419">
        <v>349</v>
      </c>
      <c r="I14" s="419">
        <v>64</v>
      </c>
      <c r="J14" s="419">
        <v>24</v>
      </c>
      <c r="K14" s="419">
        <v>28</v>
      </c>
      <c r="L14" s="419">
        <v>19</v>
      </c>
      <c r="M14" s="419">
        <v>18</v>
      </c>
      <c r="N14" s="419">
        <v>53</v>
      </c>
      <c r="O14" s="419">
        <v>24</v>
      </c>
      <c r="P14" s="419">
        <v>13</v>
      </c>
      <c r="Q14" s="419">
        <v>5</v>
      </c>
      <c r="R14" s="419">
        <v>1</v>
      </c>
      <c r="S14" s="419">
        <v>5</v>
      </c>
      <c r="T14" s="419">
        <v>20526</v>
      </c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</row>
    <row r="15" spans="1:32" ht="36" customHeight="1">
      <c r="A15" s="168" t="s">
        <v>333</v>
      </c>
      <c r="B15" s="417" t="s">
        <v>20</v>
      </c>
      <c r="C15" s="394" t="s">
        <v>105</v>
      </c>
      <c r="D15" s="395" t="s">
        <v>100</v>
      </c>
      <c r="E15" s="168" t="s">
        <v>432</v>
      </c>
      <c r="F15" s="419">
        <v>80000</v>
      </c>
      <c r="G15" s="419">
        <v>38</v>
      </c>
      <c r="H15" s="419">
        <v>382</v>
      </c>
      <c r="I15" s="419">
        <v>69</v>
      </c>
      <c r="J15" s="419">
        <v>26</v>
      </c>
      <c r="K15" s="419">
        <v>31</v>
      </c>
      <c r="L15" s="419">
        <v>20</v>
      </c>
      <c r="M15" s="419">
        <v>19</v>
      </c>
      <c r="N15" s="419">
        <v>58</v>
      </c>
      <c r="O15" s="419">
        <v>27</v>
      </c>
      <c r="P15" s="419">
        <v>15</v>
      </c>
      <c r="Q15" s="419">
        <v>5</v>
      </c>
      <c r="R15" s="419">
        <v>1</v>
      </c>
      <c r="S15" s="419">
        <v>5</v>
      </c>
      <c r="T15" s="419">
        <v>20526</v>
      </c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</row>
    <row r="16" spans="1:32" ht="36" customHeight="1">
      <c r="A16" s="168" t="s">
        <v>334</v>
      </c>
      <c r="B16" s="417" t="s">
        <v>20</v>
      </c>
      <c r="C16" s="394" t="s">
        <v>102</v>
      </c>
      <c r="D16" s="395" t="s">
        <v>425</v>
      </c>
      <c r="E16" s="168" t="s">
        <v>323</v>
      </c>
      <c r="F16" s="419">
        <v>90000</v>
      </c>
      <c r="G16" s="419">
        <v>38</v>
      </c>
      <c r="H16" s="419">
        <v>328</v>
      </c>
      <c r="I16" s="419">
        <v>60</v>
      </c>
      <c r="J16" s="419">
        <v>23</v>
      </c>
      <c r="K16" s="419">
        <v>26</v>
      </c>
      <c r="L16" s="419">
        <v>18</v>
      </c>
      <c r="M16" s="419">
        <v>16</v>
      </c>
      <c r="N16" s="419">
        <v>50</v>
      </c>
      <c r="O16" s="419">
        <v>23</v>
      </c>
      <c r="P16" s="419">
        <v>13</v>
      </c>
      <c r="Q16" s="419">
        <v>5</v>
      </c>
      <c r="R16" s="419">
        <v>1</v>
      </c>
      <c r="S16" s="419">
        <v>5</v>
      </c>
      <c r="T16" s="419">
        <v>20526</v>
      </c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</row>
    <row r="17" spans="1:32" ht="36" customHeight="1">
      <c r="A17" s="168" t="s">
        <v>335</v>
      </c>
      <c r="B17" s="417" t="s">
        <v>20</v>
      </c>
      <c r="C17" s="394" t="s">
        <v>111</v>
      </c>
      <c r="D17" s="395" t="s">
        <v>104</v>
      </c>
      <c r="E17" s="168" t="s">
        <v>321</v>
      </c>
      <c r="F17" s="419">
        <v>70000</v>
      </c>
      <c r="G17" s="419">
        <v>38</v>
      </c>
      <c r="H17" s="419">
        <v>228</v>
      </c>
      <c r="I17" s="419">
        <v>41</v>
      </c>
      <c r="J17" s="419">
        <v>16</v>
      </c>
      <c r="K17" s="419">
        <v>18</v>
      </c>
      <c r="L17" s="419">
        <v>12</v>
      </c>
      <c r="M17" s="419">
        <v>11</v>
      </c>
      <c r="N17" s="419">
        <v>34</v>
      </c>
      <c r="O17" s="419">
        <v>16</v>
      </c>
      <c r="P17" s="419">
        <v>9</v>
      </c>
      <c r="Q17" s="419">
        <v>5</v>
      </c>
      <c r="R17" s="419">
        <v>1</v>
      </c>
      <c r="S17" s="419">
        <v>5</v>
      </c>
      <c r="T17" s="419">
        <v>20526</v>
      </c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</row>
    <row r="18" spans="1:32" ht="36" customHeight="1">
      <c r="A18" s="168" t="s">
        <v>336</v>
      </c>
      <c r="B18" s="417" t="s">
        <v>21</v>
      </c>
      <c r="C18" s="394" t="s">
        <v>90</v>
      </c>
      <c r="D18" s="395" t="s">
        <v>91</v>
      </c>
      <c r="E18" s="168" t="s">
        <v>323</v>
      </c>
      <c r="F18" s="419">
        <v>100000</v>
      </c>
      <c r="G18" s="419">
        <v>38</v>
      </c>
      <c r="H18" s="419">
        <v>329</v>
      </c>
      <c r="I18" s="419">
        <v>60</v>
      </c>
      <c r="J18" s="419">
        <v>23</v>
      </c>
      <c r="K18" s="419">
        <v>26</v>
      </c>
      <c r="L18" s="419">
        <v>17</v>
      </c>
      <c r="M18" s="419">
        <v>15</v>
      </c>
      <c r="N18" s="419">
        <v>48</v>
      </c>
      <c r="O18" s="419">
        <v>23</v>
      </c>
      <c r="P18" s="419">
        <v>13</v>
      </c>
      <c r="Q18" s="419">
        <v>5</v>
      </c>
      <c r="R18" s="419">
        <v>1</v>
      </c>
      <c r="S18" s="419">
        <v>5</v>
      </c>
      <c r="T18" s="419">
        <v>20526</v>
      </c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</row>
    <row r="19" spans="1:32" ht="36" customHeight="1">
      <c r="A19" s="168" t="s">
        <v>337</v>
      </c>
      <c r="B19" s="417" t="s">
        <v>21</v>
      </c>
      <c r="C19" s="394" t="s">
        <v>109</v>
      </c>
      <c r="D19" s="395" t="s">
        <v>425</v>
      </c>
      <c r="E19" s="168" t="s">
        <v>323</v>
      </c>
      <c r="F19" s="419">
        <v>90000</v>
      </c>
      <c r="G19" s="419">
        <v>38</v>
      </c>
      <c r="H19" s="419">
        <v>291</v>
      </c>
      <c r="I19" s="419">
        <v>53</v>
      </c>
      <c r="J19" s="419">
        <v>20</v>
      </c>
      <c r="K19" s="419">
        <v>23</v>
      </c>
      <c r="L19" s="419">
        <v>15</v>
      </c>
      <c r="M19" s="419">
        <v>13</v>
      </c>
      <c r="N19" s="419">
        <v>43</v>
      </c>
      <c r="O19" s="419">
        <v>20</v>
      </c>
      <c r="P19" s="419">
        <v>11</v>
      </c>
      <c r="Q19" s="419">
        <v>5</v>
      </c>
      <c r="R19" s="419">
        <v>1</v>
      </c>
      <c r="S19" s="419">
        <v>5</v>
      </c>
      <c r="T19" s="419">
        <v>20526</v>
      </c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</row>
    <row r="20" spans="1:32" ht="36" customHeight="1">
      <c r="A20" s="168" t="s">
        <v>338</v>
      </c>
      <c r="B20" s="417" t="s">
        <v>21</v>
      </c>
      <c r="C20" s="394" t="s">
        <v>103</v>
      </c>
      <c r="D20" s="395" t="s">
        <v>104</v>
      </c>
      <c r="E20" s="168" t="s">
        <v>323</v>
      </c>
      <c r="F20" s="419">
        <v>70000</v>
      </c>
      <c r="G20" s="419">
        <v>38</v>
      </c>
      <c r="H20" s="419">
        <v>238</v>
      </c>
      <c r="I20" s="419">
        <v>43</v>
      </c>
      <c r="J20" s="419">
        <v>16</v>
      </c>
      <c r="K20" s="419">
        <v>19</v>
      </c>
      <c r="L20" s="419">
        <v>12</v>
      </c>
      <c r="M20" s="419">
        <v>11</v>
      </c>
      <c r="N20" s="419">
        <v>35</v>
      </c>
      <c r="O20" s="419">
        <v>16</v>
      </c>
      <c r="P20" s="419">
        <v>9</v>
      </c>
      <c r="Q20" s="419">
        <v>5</v>
      </c>
      <c r="R20" s="419">
        <v>1</v>
      </c>
      <c r="S20" s="419">
        <v>5</v>
      </c>
      <c r="T20" s="419">
        <v>20526</v>
      </c>
      <c r="V20" s="418"/>
      <c r="W20" s="418"/>
      <c r="X20" s="418"/>
      <c r="Y20" s="418"/>
      <c r="Z20" s="418"/>
      <c r="AA20" s="418"/>
      <c r="AB20" s="418"/>
      <c r="AC20" s="418"/>
      <c r="AD20" s="418"/>
      <c r="AE20" s="418"/>
      <c r="AF20" s="418"/>
    </row>
    <row r="21" spans="1:32" ht="36" customHeight="1">
      <c r="A21" s="168" t="s">
        <v>339</v>
      </c>
      <c r="B21" s="417" t="s">
        <v>21</v>
      </c>
      <c r="C21" s="394" t="s">
        <v>112</v>
      </c>
      <c r="D21" s="395" t="s">
        <v>113</v>
      </c>
      <c r="E21" s="168" t="s">
        <v>321</v>
      </c>
      <c r="F21" s="419">
        <v>60000</v>
      </c>
      <c r="G21" s="419">
        <v>16</v>
      </c>
      <c r="H21" s="419">
        <v>167</v>
      </c>
      <c r="I21" s="419">
        <v>30</v>
      </c>
      <c r="J21" s="419">
        <v>12</v>
      </c>
      <c r="K21" s="419">
        <v>13</v>
      </c>
      <c r="L21" s="419">
        <v>8</v>
      </c>
      <c r="M21" s="419">
        <v>7</v>
      </c>
      <c r="N21" s="419">
        <v>24</v>
      </c>
      <c r="O21" s="419">
        <v>11</v>
      </c>
      <c r="P21" s="419">
        <v>7</v>
      </c>
      <c r="Q21" s="419">
        <v>5</v>
      </c>
      <c r="R21" s="419">
        <v>1</v>
      </c>
      <c r="S21" s="419">
        <v>5</v>
      </c>
      <c r="T21" s="419">
        <v>10278</v>
      </c>
      <c r="V21" s="418"/>
      <c r="W21" s="418"/>
      <c r="X21" s="418"/>
      <c r="Y21" s="418"/>
      <c r="Z21" s="418"/>
      <c r="AA21" s="418"/>
      <c r="AB21" s="418"/>
      <c r="AC21" s="418"/>
      <c r="AD21" s="418"/>
      <c r="AE21" s="418"/>
      <c r="AF21" s="418"/>
    </row>
    <row r="22" spans="1:32" ht="24.6" customHeight="1">
      <c r="A22" s="168" t="s">
        <v>340</v>
      </c>
      <c r="B22" s="417" t="s">
        <v>22</v>
      </c>
      <c r="C22" s="394" t="s">
        <v>23</v>
      </c>
      <c r="D22" s="395" t="s">
        <v>95</v>
      </c>
      <c r="E22" s="168" t="s">
        <v>321</v>
      </c>
      <c r="F22" s="419">
        <v>100000</v>
      </c>
      <c r="G22" s="419">
        <v>38</v>
      </c>
      <c r="H22" s="419">
        <v>232</v>
      </c>
      <c r="I22" s="419">
        <v>42</v>
      </c>
      <c r="J22" s="419">
        <v>16</v>
      </c>
      <c r="K22" s="419">
        <v>18</v>
      </c>
      <c r="L22" s="419">
        <v>13</v>
      </c>
      <c r="M22" s="419">
        <v>11</v>
      </c>
      <c r="N22" s="419">
        <v>35</v>
      </c>
      <c r="O22" s="419">
        <v>16</v>
      </c>
      <c r="P22" s="419">
        <v>10</v>
      </c>
      <c r="Q22" s="419">
        <v>6</v>
      </c>
      <c r="R22" s="419">
        <v>1</v>
      </c>
      <c r="S22" s="419">
        <v>5</v>
      </c>
      <c r="T22" s="419">
        <v>20526</v>
      </c>
    </row>
  </sheetData>
  <mergeCells count="2">
    <mergeCell ref="A1:T1"/>
    <mergeCell ref="A2:T2"/>
  </mergeCells>
  <phoneticPr fontId="149" type="noConversion"/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4"/>
  <sheetViews>
    <sheetView zoomScaleNormal="100" workbookViewId="0">
      <selection activeCell="K15" sqref="K15"/>
    </sheetView>
  </sheetViews>
  <sheetFormatPr defaultColWidth="10.140625" defaultRowHeight="15.75"/>
  <cols>
    <col min="7" max="7" width="11" customWidth="1"/>
    <col min="12" max="12" width="12.42578125" customWidth="1"/>
  </cols>
  <sheetData>
    <row r="1" spans="1:28" ht="30" customHeight="1">
      <c r="A1" s="578" t="s">
        <v>341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8"/>
      <c r="AA1" s="578"/>
      <c r="AB1" s="578"/>
    </row>
    <row r="2" spans="1:28" ht="23.25" customHeight="1">
      <c r="A2" s="423" t="s">
        <v>342</v>
      </c>
      <c r="B2" s="580" t="s">
        <v>439</v>
      </c>
      <c r="C2" s="581"/>
      <c r="F2" s="423" t="s">
        <v>343</v>
      </c>
      <c r="G2" s="424">
        <f ca="1">TODAY()-1</f>
        <v>46290</v>
      </c>
      <c r="I2" s="423" t="s">
        <v>344</v>
      </c>
      <c r="J2" s="423">
        <f ca="1">TODAY()-DATE(2026,8,30)</f>
        <v>27</v>
      </c>
      <c r="L2" s="423" t="s">
        <v>345</v>
      </c>
      <c r="M2" s="423">
        <f>30</f>
        <v>30</v>
      </c>
    </row>
    <row r="3" spans="1:28">
      <c r="A3" s="520" t="s">
        <v>117</v>
      </c>
      <c r="B3" s="520"/>
      <c r="C3" s="520"/>
      <c r="D3" s="520" t="s">
        <v>346</v>
      </c>
      <c r="E3" s="520"/>
      <c r="F3" s="520"/>
      <c r="G3" s="520"/>
      <c r="H3" s="520"/>
      <c r="I3" s="520"/>
      <c r="J3" s="520"/>
      <c r="K3" s="520"/>
      <c r="L3" s="520"/>
      <c r="M3" s="520" t="s">
        <v>347</v>
      </c>
      <c r="N3" s="520"/>
      <c r="O3" s="520"/>
      <c r="P3" s="520"/>
      <c r="Q3" s="520" t="s">
        <v>348</v>
      </c>
      <c r="R3" s="520"/>
      <c r="S3" s="520"/>
      <c r="T3" s="520"/>
      <c r="U3" s="520" t="s">
        <v>349</v>
      </c>
      <c r="V3" s="520"/>
      <c r="W3" s="520"/>
      <c r="X3" s="520"/>
      <c r="Y3" s="520" t="s">
        <v>350</v>
      </c>
      <c r="Z3" s="520"/>
      <c r="AA3" s="520"/>
      <c r="AB3" s="520"/>
    </row>
    <row r="4" spans="1:28" s="434" customFormat="1" ht="31.5" customHeight="1">
      <c r="A4" s="425" t="s">
        <v>8</v>
      </c>
      <c r="B4" s="425" t="s">
        <v>7</v>
      </c>
      <c r="C4" s="425" t="s">
        <v>73</v>
      </c>
      <c r="D4" s="426" t="s">
        <v>351</v>
      </c>
      <c r="E4" s="426" t="s">
        <v>352</v>
      </c>
      <c r="F4" s="426" t="s">
        <v>353</v>
      </c>
      <c r="G4" s="426" t="s">
        <v>354</v>
      </c>
      <c r="H4" s="426" t="s">
        <v>355</v>
      </c>
      <c r="I4" s="426" t="s">
        <v>356</v>
      </c>
      <c r="J4" s="427" t="s">
        <v>357</v>
      </c>
      <c r="K4" s="427" t="s">
        <v>358</v>
      </c>
      <c r="L4" s="427" t="s">
        <v>359</v>
      </c>
      <c r="M4" s="428" t="s">
        <v>360</v>
      </c>
      <c r="N4" s="428" t="s">
        <v>361</v>
      </c>
      <c r="O4" s="428" t="s">
        <v>362</v>
      </c>
      <c r="P4" s="429" t="s">
        <v>313</v>
      </c>
      <c r="Q4" s="430" t="s">
        <v>363</v>
      </c>
      <c r="R4" s="430" t="s">
        <v>364</v>
      </c>
      <c r="S4" s="430" t="s">
        <v>365</v>
      </c>
      <c r="T4" s="431" t="s">
        <v>366</v>
      </c>
      <c r="U4" s="427" t="s">
        <v>367</v>
      </c>
      <c r="V4" s="427" t="s">
        <v>368</v>
      </c>
      <c r="W4" s="427" t="s">
        <v>369</v>
      </c>
      <c r="X4" s="427" t="s">
        <v>370</v>
      </c>
      <c r="Y4" s="432" t="s">
        <v>65</v>
      </c>
      <c r="Z4" s="432" t="s">
        <v>371</v>
      </c>
      <c r="AA4" s="432" t="s">
        <v>372</v>
      </c>
      <c r="AB4" s="433" t="s">
        <v>9</v>
      </c>
    </row>
    <row r="5" spans="1:28" ht="25.5" customHeight="1">
      <c r="A5" s="435" t="s">
        <v>17</v>
      </c>
      <c r="B5" s="435" t="s">
        <v>96</v>
      </c>
      <c r="C5" s="435" t="s">
        <v>91</v>
      </c>
      <c r="D5" s="436">
        <f>SUMIF(數據!$A:$A,$B5,數據!$C:$C)+SUMIF(數據!$A:$A,$B5,數據!$D:$D)</f>
        <v>25.5</v>
      </c>
      <c r="E5" s="436">
        <f>SUMIF(數據!$A:$A,$B5,數據!$I:$I)</f>
        <v>143.25</v>
      </c>
      <c r="F5" s="436">
        <f>SUMIF(數據!$A:$A,$B5,數據!$J:$J)+SUMIF(數據!$A:$A,$B5,數據!$K:$K)</f>
        <v>22</v>
      </c>
      <c r="G5" s="436">
        <f>SUMIF(數據!$A:$A,$B5,數據!$L:$L)+SUMIF(數據!$A:$A,$B5,數據!$M:$M)</f>
        <v>5</v>
      </c>
      <c r="H5" s="436">
        <f>SUMIF(數據!$A:$A,$B5,數據!$P:$P)+SUMIF(數據!$A:$A,$B5,數據!$Q:$Q)</f>
        <v>15</v>
      </c>
      <c r="I5" s="436">
        <f>SUMIF(數據!$A:$A,$B5,數據!$R:$R)+SUMIF(數據!$A:$A,$B5,數據!$S:$S)</f>
        <v>7</v>
      </c>
      <c r="J5" s="436">
        <f>SUMIF(數據!$A:$A,$B5,數據!$N:$N)+SUMIF(數據!$A:$A,$B5,數據!$O:$O)</f>
        <v>10</v>
      </c>
      <c r="K5" s="436">
        <f>SUMIF(數據!$A:$A,$B5,數據!$V:$V)+SUMIF(數據!$A:$A,$B5,數據!$W:$W)</f>
        <v>17</v>
      </c>
      <c r="L5" s="436">
        <f>SUMIF(數據!$A:$A,$B5,數據!$Z:$Z)+SUMIF(數據!$A:$A,$B5,數據!$AA:$AA)</f>
        <v>0</v>
      </c>
      <c r="M5" s="437">
        <f>SUMIF(■我的大類_重點目標!$C:$C,$B5,■我的大類_重點目標!$H:$H)</f>
        <v>307</v>
      </c>
      <c r="N5" s="437">
        <f>SUMIF(■我的大類_重點目標!$C:$C,$B5,■我的大類_重點目標!$I:$I)</f>
        <v>56</v>
      </c>
      <c r="O5" s="437">
        <f>SUMIF(■我的大類_重點目標!$C:$C,$B5,■我的大類_重點目標!$G:$G)</f>
        <v>38</v>
      </c>
      <c r="P5" s="437">
        <f>SUMIF(■我的大類_重點目標!$C:$C,$B5,■我的大類_重點目標!$N:$N)</f>
        <v>46</v>
      </c>
      <c r="Q5" s="438">
        <f t="shared" ref="Q5:Q24" si="0">IFERROR(E5/M5,0)</f>
        <v>0.46661237785016285</v>
      </c>
      <c r="R5" s="438">
        <f t="shared" ref="R5:R24" si="1">IFERROR(F5/N5,0)</f>
        <v>0.39285714285714285</v>
      </c>
      <c r="S5" s="438">
        <f t="shared" ref="S5:S24" si="2">IFERROR(D5/O5,0)</f>
        <v>0.67105263157894735</v>
      </c>
      <c r="T5" s="438">
        <f t="shared" ref="T5:T24" si="3">IFERROR(K5/P5,0)</f>
        <v>0.36956521739130432</v>
      </c>
      <c r="U5" s="439">
        <f t="shared" ref="U5:U24" ca="1" si="4">IF($J$2&gt;0,E5/$J$2*$M$2,0)</f>
        <v>159.16666666666666</v>
      </c>
      <c r="V5" s="439">
        <f t="shared" ref="V5:V24" ca="1" si="5">IF($J$2&gt;0,F5/$J$2*$M$2,0)</f>
        <v>24.444444444444443</v>
      </c>
      <c r="W5" s="439">
        <f t="shared" ref="W5:W24" ca="1" si="6">IF($J$2&gt;0,D5/$J$2*$M$2,0)</f>
        <v>28.333333333333332</v>
      </c>
      <c r="X5" s="439">
        <f t="shared" ref="X5:X24" ca="1" si="7">IF($J$2&gt;0,K5/$J$2*$M$2,0)</f>
        <v>18.888888888888889</v>
      </c>
      <c r="Y5" s="440">
        <f>SUMIF(【你的全部獎金】!$B$7:$B$26,$B5,【你的全部獎金】!$K$7:$K$26)</f>
        <v>5650</v>
      </c>
      <c r="Z5" s="440">
        <f ca="1">SUMIF(【你的全部獎金】!$B$7:$B$26,$B5,【你的全部獎金】!$L$7:$L$26)</f>
        <v>15501.340666666667</v>
      </c>
      <c r="AA5" s="436">
        <f ca="1">SUMIF(【你的全部獎金】!$B$7:$B$26,$B5,【你的全部獎金】!$O$7:$O$26)</f>
        <v>3000</v>
      </c>
      <c r="AB5" s="440">
        <f ca="1">SUMIF(【你的全部獎金】!$B$7:$B$26,$B5,【你的全部獎金】!$Q$7:$Q$26)</f>
        <v>27151.340666666667</v>
      </c>
    </row>
    <row r="6" spans="1:28" ht="25.5" customHeight="1">
      <c r="A6" s="435" t="s">
        <v>17</v>
      </c>
      <c r="B6" s="435" t="s">
        <v>108</v>
      </c>
      <c r="C6" s="435" t="s">
        <v>89</v>
      </c>
      <c r="D6" s="436">
        <f>SUMIF(數據!$A:$A,$B6,數據!$C:$C)+SUMIF(數據!$A:$A,$B6,數據!$D:$D)</f>
        <v>23.5</v>
      </c>
      <c r="E6" s="436">
        <f>SUMIF(數據!$A:$A,$B6,數據!$I:$I)</f>
        <v>216</v>
      </c>
      <c r="F6" s="436">
        <f>SUMIF(數據!$A:$A,$B6,數據!$J:$J)+SUMIF(數據!$A:$A,$B6,數據!$K:$K)</f>
        <v>28</v>
      </c>
      <c r="G6" s="436">
        <f>SUMIF(數據!$A:$A,$B6,數據!$L:$L)+SUMIF(數據!$A:$A,$B6,數據!$M:$M)</f>
        <v>11</v>
      </c>
      <c r="H6" s="436">
        <f>SUMIF(數據!$A:$A,$B6,數據!$P:$P)+SUMIF(數據!$A:$A,$B6,數據!$Q:$Q)</f>
        <v>14</v>
      </c>
      <c r="I6" s="436">
        <f>SUMIF(數據!$A:$A,$B6,數據!$R:$R)+SUMIF(數據!$A:$A,$B6,數據!$S:$S)</f>
        <v>11</v>
      </c>
      <c r="J6" s="436">
        <f>SUMIF(數據!$A:$A,$B6,數據!$N:$N)+SUMIF(數據!$A:$A,$B6,數據!$O:$O)</f>
        <v>7</v>
      </c>
      <c r="K6" s="436">
        <f>SUMIF(數據!$A:$A,$B6,數據!$V:$V)+SUMIF(數據!$A:$A,$B6,數據!$W:$W)</f>
        <v>24</v>
      </c>
      <c r="L6" s="436">
        <f>SUMIF(數據!$A:$A,$B6,數據!$Z:$Z)+SUMIF(數據!$A:$A,$B6,數據!$AA:$AA)</f>
        <v>0</v>
      </c>
      <c r="M6" s="437">
        <f>SUMIF(■我的大類_重點目標!$C:$C,$B6,■我的大類_重點目標!$H:$H)</f>
        <v>288</v>
      </c>
      <c r="N6" s="437">
        <f>SUMIF(■我的大類_重點目標!$C:$C,$B6,■我的大類_重點目標!$I:$I)</f>
        <v>52</v>
      </c>
      <c r="O6" s="437">
        <f>SUMIF(■我的大類_重點目標!$C:$C,$B6,■我的大類_重點目標!$G:$G)</f>
        <v>38</v>
      </c>
      <c r="P6" s="437">
        <f>SUMIF(■我的大類_重點目標!$C:$C,$B6,■我的大類_重點目標!$N:$N)</f>
        <v>43</v>
      </c>
      <c r="Q6" s="438">
        <f t="shared" si="0"/>
        <v>0.75</v>
      </c>
      <c r="R6" s="438">
        <f t="shared" si="1"/>
        <v>0.53846153846153844</v>
      </c>
      <c r="S6" s="438">
        <f t="shared" si="2"/>
        <v>0.61842105263157898</v>
      </c>
      <c r="T6" s="438">
        <f t="shared" si="3"/>
        <v>0.55813953488372092</v>
      </c>
      <c r="U6" s="439">
        <f t="shared" ca="1" si="4"/>
        <v>240</v>
      </c>
      <c r="V6" s="439">
        <f t="shared" ca="1" si="5"/>
        <v>31.111111111111111</v>
      </c>
      <c r="W6" s="439">
        <f t="shared" ca="1" si="6"/>
        <v>26.111111111111111</v>
      </c>
      <c r="X6" s="439">
        <f t="shared" ca="1" si="7"/>
        <v>26.666666666666664</v>
      </c>
      <c r="Y6" s="440">
        <f>SUMIF(【你的全部獎金】!$B$7:$B$26,$B6,【你的全部獎金】!$K$7:$K$26)</f>
        <v>5850</v>
      </c>
      <c r="Z6" s="440">
        <f ca="1">SUMIF(【你的全部獎金】!$B$7:$B$26,$B6,【你的全部獎金】!$L$7:$L$26)</f>
        <v>10374.465</v>
      </c>
      <c r="AA6" s="436">
        <f ca="1">SUMIF(【你的全部獎金】!$B$7:$B$26,$B6,【你的全部獎金】!$O$7:$O$26)</f>
        <v>5000</v>
      </c>
      <c r="AB6" s="440">
        <f ca="1">SUMIF(【你的全部獎金】!$B$7:$B$26,$B6,【你的全部獎金】!$Q$7:$Q$26)</f>
        <v>21224.465</v>
      </c>
    </row>
    <row r="7" spans="1:28" ht="25.5" customHeight="1">
      <c r="A7" s="435" t="s">
        <v>17</v>
      </c>
      <c r="B7" s="435" t="s">
        <v>101</v>
      </c>
      <c r="C7" s="435" t="s">
        <v>100</v>
      </c>
      <c r="D7" s="436">
        <f>SUMIF(數據!$A:$A,$B7,數據!$C:$C)+SUMIF(數據!$A:$A,$B7,數據!$D:$D)</f>
        <v>15</v>
      </c>
      <c r="E7" s="436">
        <f>SUMIF(數據!$A:$A,$B7,數據!$I:$I)</f>
        <v>113.45</v>
      </c>
      <c r="F7" s="436">
        <f>SUMIF(數據!$A:$A,$B7,數據!$J:$J)+SUMIF(數據!$A:$A,$B7,數據!$K:$K)</f>
        <v>16</v>
      </c>
      <c r="G7" s="436">
        <f>SUMIF(數據!$A:$A,$B7,數據!$L:$L)+SUMIF(數據!$A:$A,$B7,數據!$M:$M)</f>
        <v>9</v>
      </c>
      <c r="H7" s="436">
        <f>SUMIF(數據!$A:$A,$B7,數據!$P:$P)+SUMIF(數據!$A:$A,$B7,數據!$Q:$Q)</f>
        <v>10</v>
      </c>
      <c r="I7" s="436">
        <f>SUMIF(數據!$A:$A,$B7,數據!$R:$R)+SUMIF(數據!$A:$A,$B7,數據!$S:$S)</f>
        <v>4</v>
      </c>
      <c r="J7" s="436">
        <f>SUMIF(數據!$A:$A,$B7,數據!$N:$N)+SUMIF(數據!$A:$A,$B7,數據!$O:$O)</f>
        <v>7</v>
      </c>
      <c r="K7" s="436">
        <f>SUMIF(數據!$A:$A,$B7,數據!$V:$V)+SUMIF(數據!$A:$A,$B7,數據!$W:$W)</f>
        <v>13</v>
      </c>
      <c r="L7" s="436">
        <f>SUMIF(數據!$A:$A,$B7,數據!$Z:$Z)+SUMIF(數據!$A:$A,$B7,數據!$AA:$AA)</f>
        <v>2</v>
      </c>
      <c r="M7" s="437">
        <f>SUMIF(■我的大類_重點目標!$C:$C,$B7,■我的大類_重點目標!$H:$H)</f>
        <v>269</v>
      </c>
      <c r="N7" s="437">
        <f>SUMIF(■我的大類_重點目標!$C:$C,$B7,■我的大類_重點目標!$I:$I)</f>
        <v>49</v>
      </c>
      <c r="O7" s="437">
        <f>SUMIF(■我的大類_重點目標!$C:$C,$B7,■我的大類_重點目標!$G:$G)</f>
        <v>38</v>
      </c>
      <c r="P7" s="437">
        <f>SUMIF(■我的大類_重點目標!$C:$C,$B7,■我的大類_重點目標!$N:$N)</f>
        <v>40</v>
      </c>
      <c r="Q7" s="438">
        <f t="shared" si="0"/>
        <v>0.4217472118959108</v>
      </c>
      <c r="R7" s="438">
        <f t="shared" si="1"/>
        <v>0.32653061224489793</v>
      </c>
      <c r="S7" s="438">
        <f t="shared" si="2"/>
        <v>0.39473684210526316</v>
      </c>
      <c r="T7" s="438">
        <f t="shared" si="3"/>
        <v>0.32500000000000001</v>
      </c>
      <c r="U7" s="439">
        <f t="shared" ca="1" si="4"/>
        <v>126.05555555555556</v>
      </c>
      <c r="V7" s="439">
        <f t="shared" ca="1" si="5"/>
        <v>17.777777777777779</v>
      </c>
      <c r="W7" s="439">
        <f t="shared" ca="1" si="6"/>
        <v>16.666666666666668</v>
      </c>
      <c r="X7" s="439">
        <f t="shared" ca="1" si="7"/>
        <v>14.444444444444443</v>
      </c>
      <c r="Y7" s="440">
        <f>SUMIF(【你的全部獎金】!$B$7:$B$26,$B7,【你的全部獎金】!$K$7:$K$26)</f>
        <v>5100</v>
      </c>
      <c r="Z7" s="440">
        <f ca="1">SUMIF(【你的全部獎金】!$B$7:$B$26,$B7,【你的全部獎金】!$L$7:$L$26)</f>
        <v>0</v>
      </c>
      <c r="AA7" s="436">
        <f ca="1">SUMIF(【你的全部獎金】!$B$7:$B$26,$B7,【你的全部獎金】!$O$7:$O$26)</f>
        <v>3000</v>
      </c>
      <c r="AB7" s="440">
        <f ca="1">SUMIF(【你的全部獎金】!$B$7:$B$26,$B7,【你的全部獎金】!$Q$7:$Q$26)</f>
        <v>8100</v>
      </c>
    </row>
    <row r="8" spans="1:28" ht="25.5" customHeight="1">
      <c r="A8" s="435" t="s">
        <v>17</v>
      </c>
      <c r="B8" s="435" t="s">
        <v>106</v>
      </c>
      <c r="C8" s="435" t="s">
        <v>104</v>
      </c>
      <c r="D8" s="436">
        <f>SUMIF(數據!$A:$A,$B8,數據!$C:$C)+SUMIF(數據!$A:$A,$B8,數據!$D:$D)</f>
        <v>34.5</v>
      </c>
      <c r="E8" s="436">
        <f>SUMIF(數據!$A:$A,$B8,數據!$I:$I)</f>
        <v>84.75</v>
      </c>
      <c r="F8" s="436">
        <f>SUMIF(數據!$A:$A,$B8,數據!$J:$J)+SUMIF(數據!$A:$A,$B8,數據!$K:$K)</f>
        <v>16</v>
      </c>
      <c r="G8" s="436">
        <f>SUMIF(數據!$A:$A,$B8,數據!$L:$L)+SUMIF(數據!$A:$A,$B8,數據!$M:$M)</f>
        <v>5</v>
      </c>
      <c r="H8" s="436">
        <f>SUMIF(數據!$A:$A,$B8,數據!$P:$P)+SUMIF(數據!$A:$A,$B8,數據!$Q:$Q)</f>
        <v>6</v>
      </c>
      <c r="I8" s="436">
        <f>SUMIF(數據!$A:$A,$B8,數據!$R:$R)+SUMIF(數據!$A:$A,$B8,數據!$S:$S)</f>
        <v>3</v>
      </c>
      <c r="J8" s="436">
        <f>SUMIF(數據!$A:$A,$B8,數據!$N:$N)+SUMIF(數據!$A:$A,$B8,數據!$O:$O)</f>
        <v>9</v>
      </c>
      <c r="K8" s="436">
        <f>SUMIF(數據!$A:$A,$B8,數據!$V:$V)+SUMIF(數據!$A:$A,$B8,數據!$W:$W)</f>
        <v>14</v>
      </c>
      <c r="L8" s="436">
        <f>SUMIF(數據!$A:$A,$B8,數據!$Z:$Z)+SUMIF(數據!$A:$A,$B8,數據!$AA:$AA)</f>
        <v>0</v>
      </c>
      <c r="M8" s="437">
        <f>SUMIF(■我的大類_重點目標!$C:$C,$B8,■我的大類_重點目標!$H:$H)</f>
        <v>236</v>
      </c>
      <c r="N8" s="437">
        <f>SUMIF(■我的大類_重點目標!$C:$C,$B8,■我的大類_重點目標!$I:$I)</f>
        <v>43</v>
      </c>
      <c r="O8" s="437">
        <f>SUMIF(■我的大類_重點目標!$C:$C,$B8,■我的大類_重點目標!$G:$G)</f>
        <v>38</v>
      </c>
      <c r="P8" s="437">
        <f>SUMIF(■我的大類_重點目標!$C:$C,$B8,■我的大類_重點目標!$N:$N)</f>
        <v>36</v>
      </c>
      <c r="Q8" s="438">
        <f t="shared" si="0"/>
        <v>0.35911016949152541</v>
      </c>
      <c r="R8" s="438">
        <f t="shared" si="1"/>
        <v>0.37209302325581395</v>
      </c>
      <c r="S8" s="438">
        <f t="shared" si="2"/>
        <v>0.90789473684210531</v>
      </c>
      <c r="T8" s="438">
        <f t="shared" si="3"/>
        <v>0.3888888888888889</v>
      </c>
      <c r="U8" s="439">
        <f t="shared" ca="1" si="4"/>
        <v>94.166666666666671</v>
      </c>
      <c r="V8" s="439">
        <f t="shared" ca="1" si="5"/>
        <v>17.777777777777779</v>
      </c>
      <c r="W8" s="439">
        <f t="shared" ca="1" si="6"/>
        <v>38.333333333333329</v>
      </c>
      <c r="X8" s="439">
        <f t="shared" ca="1" si="7"/>
        <v>15.555555555555555</v>
      </c>
      <c r="Y8" s="440">
        <f>SUMIF(【你的全部獎金】!$B$7:$B$26,$B8,【你的全部獎金】!$K$7:$K$26)</f>
        <v>6550</v>
      </c>
      <c r="Z8" s="440">
        <f ca="1">SUMIF(【你的全部獎金】!$B$7:$B$26,$B8,【你的全部獎金】!$L$7:$L$26)</f>
        <v>5000</v>
      </c>
      <c r="AA8" s="436">
        <f ca="1">SUMIF(【你的全部獎金】!$B$7:$B$26,$B8,【你的全部獎金】!$O$7:$O$26)</f>
        <v>3000</v>
      </c>
      <c r="AB8" s="440">
        <f ca="1">SUMIF(【你的全部獎金】!$B$7:$B$26,$B8,【你的全部獎金】!$Q$7:$Q$26)</f>
        <v>14550</v>
      </c>
    </row>
    <row r="9" spans="1:28">
      <c r="A9" s="435" t="s">
        <v>22</v>
      </c>
      <c r="B9" s="435" t="s">
        <v>23</v>
      </c>
      <c r="C9" s="435" t="s">
        <v>95</v>
      </c>
      <c r="D9" s="436">
        <f>SUMIF(數據!$A:$A,$B9,數據!$C:$C)+SUMIF(數據!$A:$A,$B9,數據!$D:$D)</f>
        <v>16.5</v>
      </c>
      <c r="E9" s="436">
        <f>SUMIF(數據!$A:$A,$B9,數據!$I:$I)</f>
        <v>218.25</v>
      </c>
      <c r="F9" s="436">
        <f>SUMIF(數據!$A:$A,$B9,數據!$J:$J)+SUMIF(數據!$A:$A,$B9,數據!$K:$K)</f>
        <v>33</v>
      </c>
      <c r="G9" s="436">
        <f>SUMIF(數據!$A:$A,$B9,數據!$L:$L)+SUMIF(數據!$A:$A,$B9,數據!$M:$M)</f>
        <v>12</v>
      </c>
      <c r="H9" s="436">
        <f>SUMIF(數據!$A:$A,$B9,數據!$P:$P)+SUMIF(數據!$A:$A,$B9,數據!$Q:$Q)</f>
        <v>16</v>
      </c>
      <c r="I9" s="436">
        <f>SUMIF(數據!$A:$A,$B9,數據!$R:$R)+SUMIF(數據!$A:$A,$B9,數據!$S:$S)</f>
        <v>8</v>
      </c>
      <c r="J9" s="436">
        <f>SUMIF(數據!$A:$A,$B9,數據!$N:$N)+SUMIF(數據!$A:$A,$B9,數據!$O:$O)</f>
        <v>14</v>
      </c>
      <c r="K9" s="436">
        <f>SUMIF(數據!$A:$A,$B9,數據!$V:$V)+SUMIF(數據!$A:$A,$B9,數據!$W:$W)</f>
        <v>22</v>
      </c>
      <c r="L9" s="436">
        <f>SUMIF(數據!$A:$A,$B9,數據!$Z:$Z)+SUMIF(數據!$A:$A,$B9,數據!$AA:$AA)</f>
        <v>4.25</v>
      </c>
      <c r="M9" s="437">
        <f>SUMIF(■我的大類_重點目標!$C:$C,$B9,■我的大類_重點目標!$H:$H)</f>
        <v>232</v>
      </c>
      <c r="N9" s="437">
        <f>SUMIF(■我的大類_重點目標!$C:$C,$B9,■我的大類_重點目標!$I:$I)</f>
        <v>42</v>
      </c>
      <c r="O9" s="437">
        <f>SUMIF(■我的大類_重點目標!$C:$C,$B9,■我的大類_重點目標!$G:$G)</f>
        <v>38</v>
      </c>
      <c r="P9" s="437">
        <f>SUMIF(■我的大類_重點目標!$C:$C,$B9,■我的大類_重點目標!$N:$N)</f>
        <v>35</v>
      </c>
      <c r="Q9" s="438">
        <f>IFERROR(E9/M9,0)</f>
        <v>0.94073275862068961</v>
      </c>
      <c r="R9" s="438">
        <f>IFERROR(F9/N9,0)</f>
        <v>0.7857142857142857</v>
      </c>
      <c r="S9" s="438">
        <f>IFERROR(D9/O9,0)</f>
        <v>0.43421052631578949</v>
      </c>
      <c r="T9" s="438">
        <f>IFERROR(K9/P9,0)</f>
        <v>0.62857142857142856</v>
      </c>
      <c r="U9" s="439">
        <f ca="1">IF($J$2&gt;0,E9/$J$2*$M$2,0)</f>
        <v>242.50000000000003</v>
      </c>
      <c r="V9" s="439">
        <f ca="1">IF($J$2&gt;0,F9/$J$2*$M$2,0)</f>
        <v>36.666666666666671</v>
      </c>
      <c r="W9" s="439">
        <f ca="1">IF($J$2&gt;0,D9/$J$2*$M$2,0)</f>
        <v>18.333333333333336</v>
      </c>
      <c r="X9" s="439">
        <f ca="1">IF($J$2&gt;0,K9/$J$2*$M$2,0)</f>
        <v>24.444444444444443</v>
      </c>
      <c r="Y9" s="440">
        <f>SUMIF(【你的全部獎金】!$B$7:$B$26,$B9,【你的全部獎金】!$K$7:$K$26)</f>
        <v>7975</v>
      </c>
      <c r="Z9" s="440">
        <f ca="1">SUMIF(【你的全部獎金】!$B$7:$B$26,$B9,【你的全部獎金】!$L$7:$L$26)</f>
        <v>27911.27</v>
      </c>
      <c r="AA9" s="436">
        <f ca="1">SUMIF(【你的全部獎金】!$B$7:$B$26,$B9,【你的全部獎金】!$O$7:$O$26)</f>
        <v>7000</v>
      </c>
      <c r="AB9" s="440">
        <f ca="1">SUMIF(【你的全部獎金】!$B$7:$B$26,$B9,【你的全部獎金】!$Q$7:$Q$26)</f>
        <v>45886.270000000004</v>
      </c>
    </row>
    <row r="10" spans="1:28" ht="25.5" customHeight="1">
      <c r="A10" s="435" t="s">
        <v>18</v>
      </c>
      <c r="B10" s="435" t="s">
        <v>97</v>
      </c>
      <c r="C10" s="435" t="s">
        <v>89</v>
      </c>
      <c r="D10" s="436">
        <f>SUMIF(數據!$A:$A,$B10,數據!$C:$C)+SUMIF(數據!$A:$A,$B10,數據!$D:$D)</f>
        <v>13.5</v>
      </c>
      <c r="E10" s="436">
        <f>SUMIF(數據!$A:$A,$B10,數據!$I:$I)</f>
        <v>87.55</v>
      </c>
      <c r="F10" s="436">
        <f>SUMIF(數據!$A:$A,$B10,數據!$J:$J)+SUMIF(數據!$A:$A,$B10,數據!$K:$K)</f>
        <v>14</v>
      </c>
      <c r="G10" s="436">
        <f>SUMIF(數據!$A:$A,$B10,數據!$L:$L)+SUMIF(數據!$A:$A,$B10,數據!$M:$M)</f>
        <v>4</v>
      </c>
      <c r="H10" s="436">
        <f>SUMIF(數據!$A:$A,$B10,數據!$P:$P)+SUMIF(數據!$A:$A,$B10,數據!$Q:$Q)</f>
        <v>6</v>
      </c>
      <c r="I10" s="436">
        <f>SUMIF(數據!$A:$A,$B10,數據!$R:$R)+SUMIF(數據!$A:$A,$B10,數據!$S:$S)</f>
        <v>6</v>
      </c>
      <c r="J10" s="436">
        <f>SUMIF(數據!$A:$A,$B10,數據!$N:$N)+SUMIF(數據!$A:$A,$B10,數據!$O:$O)</f>
        <v>2</v>
      </c>
      <c r="K10" s="436">
        <f>SUMIF(數據!$A:$A,$B10,數據!$V:$V)+SUMIF(數據!$A:$A,$B10,數據!$W:$W)</f>
        <v>13</v>
      </c>
      <c r="L10" s="436">
        <f>SUMIF(數據!$A:$A,$B10,數據!$Z:$Z)+SUMIF(數據!$A:$A,$B10,數據!$AA:$AA)</f>
        <v>0</v>
      </c>
      <c r="M10" s="437">
        <f>SUMIF(■我的大類_重點目標!$C:$C,$B10,■我的大類_重點目標!$H:$H)</f>
        <v>293</v>
      </c>
      <c r="N10" s="437">
        <f>SUMIF(■我的大類_重點目標!$C:$C,$B10,■我的大類_重點目標!$I:$I)</f>
        <v>53</v>
      </c>
      <c r="O10" s="437">
        <f>SUMIF(■我的大類_重點目標!$C:$C,$B10,■我的大類_重點目標!$G:$G)</f>
        <v>38</v>
      </c>
      <c r="P10" s="437">
        <f>SUMIF(■我的大類_重點目標!$C:$C,$B10,■我的大類_重點目標!$N:$N)</f>
        <v>44</v>
      </c>
      <c r="Q10" s="438">
        <f t="shared" si="0"/>
        <v>0.29880546075085324</v>
      </c>
      <c r="R10" s="438">
        <f t="shared" si="1"/>
        <v>0.26415094339622641</v>
      </c>
      <c r="S10" s="438">
        <f t="shared" si="2"/>
        <v>0.35526315789473684</v>
      </c>
      <c r="T10" s="438">
        <f t="shared" si="3"/>
        <v>0.29545454545454547</v>
      </c>
      <c r="U10" s="439">
        <f t="shared" ca="1" si="4"/>
        <v>97.277777777777771</v>
      </c>
      <c r="V10" s="439">
        <f t="shared" ca="1" si="5"/>
        <v>15.555555555555555</v>
      </c>
      <c r="W10" s="439">
        <f t="shared" ca="1" si="6"/>
        <v>15</v>
      </c>
      <c r="X10" s="439">
        <f t="shared" ca="1" si="7"/>
        <v>14.444444444444443</v>
      </c>
      <c r="Y10" s="440">
        <f>SUMIF(【你的全部獎金】!$B$7:$B$26,$B10,【你的全部獎金】!$K$7:$K$26)</f>
        <v>2850</v>
      </c>
      <c r="Z10" s="440">
        <f ca="1">SUMIF(【你的全部獎金】!$B$7:$B$26,$B10,【你的全部獎金】!$L$7:$L$26)</f>
        <v>0</v>
      </c>
      <c r="AA10" s="436">
        <f ca="1">SUMIF(【你的全部獎金】!$B$7:$B$26,$B10,【你的全部獎金】!$O$7:$O$26)</f>
        <v>0</v>
      </c>
      <c r="AB10" s="440">
        <f ca="1">SUMIF(【你的全部獎金】!$B$7:$B$26,$B10,【你的全部獎金】!$Q$7:$Q$26)</f>
        <v>2850</v>
      </c>
    </row>
    <row r="11" spans="1:28" ht="25.5" customHeight="1">
      <c r="A11" s="435" t="s">
        <v>18</v>
      </c>
      <c r="B11" s="435" t="s">
        <v>98</v>
      </c>
      <c r="C11" s="435" t="s">
        <v>89</v>
      </c>
      <c r="D11" s="436">
        <f>SUMIF(數據!$A:$A,$B11,數據!$C:$C)+SUMIF(數據!$A:$A,$B11,數據!$D:$D)</f>
        <v>47</v>
      </c>
      <c r="E11" s="436">
        <f>SUMIF(數據!$A:$A,$B11,數據!$I:$I)</f>
        <v>159.94999999999999</v>
      </c>
      <c r="F11" s="436">
        <f>SUMIF(數據!$A:$A,$B11,數據!$J:$J)+SUMIF(數據!$A:$A,$B11,數據!$K:$K)</f>
        <v>24</v>
      </c>
      <c r="G11" s="436">
        <f>SUMIF(數據!$A:$A,$B11,數據!$L:$L)+SUMIF(數據!$A:$A,$B11,數據!$M:$M)</f>
        <v>13</v>
      </c>
      <c r="H11" s="436">
        <f>SUMIF(數據!$A:$A,$B11,數據!$P:$P)+SUMIF(數據!$A:$A,$B11,數據!$Q:$Q)</f>
        <v>11</v>
      </c>
      <c r="I11" s="436">
        <f>SUMIF(數據!$A:$A,$B11,數據!$R:$R)+SUMIF(數據!$A:$A,$B11,數據!$S:$S)</f>
        <v>8</v>
      </c>
      <c r="J11" s="436">
        <f>SUMIF(數據!$A:$A,$B11,數據!$N:$N)+SUMIF(數據!$A:$A,$B11,數據!$O:$O)</f>
        <v>5</v>
      </c>
      <c r="K11" s="436">
        <f>SUMIF(數據!$A:$A,$B11,數據!$V:$V)+SUMIF(數據!$A:$A,$B11,數據!$W:$W)</f>
        <v>20</v>
      </c>
      <c r="L11" s="436">
        <f>SUMIF(數據!$A:$A,$B11,數據!$Z:$Z)+SUMIF(數據!$A:$A,$B11,數據!$AA:$AA)</f>
        <v>1</v>
      </c>
      <c r="M11" s="437">
        <f>SUMIF(■我的大類_重點目標!$C:$C,$B11,■我的大類_重點目標!$H:$H)</f>
        <v>293</v>
      </c>
      <c r="N11" s="437">
        <f>SUMIF(■我的大類_重點目標!$C:$C,$B11,■我的大類_重點目標!$I:$I)</f>
        <v>53</v>
      </c>
      <c r="O11" s="437">
        <f>SUMIF(■我的大類_重點目標!$C:$C,$B11,■我的大類_重點目標!$G:$G)</f>
        <v>38</v>
      </c>
      <c r="P11" s="437">
        <f>SUMIF(■我的大類_重點目標!$C:$C,$B11,■我的大類_重點目標!$N:$N)</f>
        <v>44</v>
      </c>
      <c r="Q11" s="438">
        <f t="shared" si="0"/>
        <v>0.54590443686006818</v>
      </c>
      <c r="R11" s="438">
        <f t="shared" si="1"/>
        <v>0.45283018867924529</v>
      </c>
      <c r="S11" s="438">
        <f t="shared" si="2"/>
        <v>1.236842105263158</v>
      </c>
      <c r="T11" s="438">
        <f t="shared" si="3"/>
        <v>0.45454545454545453</v>
      </c>
      <c r="U11" s="439">
        <f t="shared" ca="1" si="4"/>
        <v>177.72222222222223</v>
      </c>
      <c r="V11" s="439">
        <f t="shared" ca="1" si="5"/>
        <v>26.666666666666664</v>
      </c>
      <c r="W11" s="439">
        <f t="shared" ca="1" si="6"/>
        <v>52.222222222222221</v>
      </c>
      <c r="X11" s="439">
        <f t="shared" ca="1" si="7"/>
        <v>22.222222222222221</v>
      </c>
      <c r="Y11" s="440">
        <f>SUMIF(【你的全部獎金】!$B$7:$B$26,$B11,【你的全部獎金】!$K$7:$K$26)</f>
        <v>9000</v>
      </c>
      <c r="Z11" s="440">
        <f ca="1">SUMIF(【你的全部獎金】!$B$7:$B$26,$B11,【你的全部獎金】!$L$7:$L$26)</f>
        <v>20933.906666666669</v>
      </c>
      <c r="AA11" s="436">
        <f ca="1">SUMIF(【你的全部獎金】!$B$7:$B$26,$B11,【你的全部獎金】!$O$7:$O$26)</f>
        <v>4000</v>
      </c>
      <c r="AB11" s="440">
        <f ca="1">SUMIF(【你的全部獎金】!$B$7:$B$26,$B11,【你的全部獎金】!$Q$7:$Q$26)</f>
        <v>36933.906666666669</v>
      </c>
    </row>
    <row r="12" spans="1:28" ht="25.5" customHeight="1">
      <c r="A12" s="435" t="s">
        <v>18</v>
      </c>
      <c r="B12" s="435" t="s">
        <v>110</v>
      </c>
      <c r="C12" s="435" t="s">
        <v>104</v>
      </c>
      <c r="D12" s="436">
        <f>SUMIF(數據!$A:$A,$B12,數據!$C:$C)+SUMIF(數據!$A:$A,$B12,數據!$D:$D)</f>
        <v>12</v>
      </c>
      <c r="E12" s="436">
        <f>SUMIF(數據!$A:$A,$B12,數據!$I:$I)</f>
        <v>104.45</v>
      </c>
      <c r="F12" s="436">
        <f>SUMIF(數據!$A:$A,$B12,數據!$J:$J)+SUMIF(數據!$A:$A,$B12,數據!$K:$K)</f>
        <v>15</v>
      </c>
      <c r="G12" s="436">
        <f>SUMIF(數據!$A:$A,$B12,數據!$L:$L)+SUMIF(數據!$A:$A,$B12,數據!$M:$M)</f>
        <v>8</v>
      </c>
      <c r="H12" s="436">
        <f>SUMIF(數據!$A:$A,$B12,數據!$P:$P)+SUMIF(數據!$A:$A,$B12,數據!$Q:$Q)</f>
        <v>7</v>
      </c>
      <c r="I12" s="436">
        <f>SUMIF(數據!$A:$A,$B12,數據!$R:$R)+SUMIF(數據!$A:$A,$B12,數據!$S:$S)</f>
        <v>3</v>
      </c>
      <c r="J12" s="436">
        <f>SUMIF(數據!$A:$A,$B12,數據!$N:$N)+SUMIF(數據!$A:$A,$B12,數據!$O:$O)</f>
        <v>5</v>
      </c>
      <c r="K12" s="436">
        <f>SUMIF(數據!$A:$A,$B12,數據!$V:$V)+SUMIF(數據!$A:$A,$B12,數據!$W:$W)</f>
        <v>13</v>
      </c>
      <c r="L12" s="436">
        <f>SUMIF(數據!$A:$A,$B12,數據!$Z:$Z)+SUMIF(數據!$A:$A,$B12,數據!$AA:$AA)</f>
        <v>1.5</v>
      </c>
      <c r="M12" s="437">
        <f>SUMIF(■我的大類_重點目標!$C:$C,$B12,■我的大類_重點目標!$H:$H)</f>
        <v>241</v>
      </c>
      <c r="N12" s="437">
        <f>SUMIF(■我的大類_重點目標!$C:$C,$B12,■我的大類_重點目標!$I:$I)</f>
        <v>44</v>
      </c>
      <c r="O12" s="437">
        <f>SUMIF(■我的大類_重點目標!$C:$C,$B12,■我的大類_重點目標!$G:$G)</f>
        <v>38</v>
      </c>
      <c r="P12" s="437">
        <f>SUMIF(■我的大類_重點目標!$C:$C,$B12,■我的大類_重點目標!$N:$N)</f>
        <v>36</v>
      </c>
      <c r="Q12" s="438">
        <f t="shared" si="0"/>
        <v>0.43340248962655603</v>
      </c>
      <c r="R12" s="438">
        <f t="shared" si="1"/>
        <v>0.34090909090909088</v>
      </c>
      <c r="S12" s="438">
        <f t="shared" si="2"/>
        <v>0.31578947368421051</v>
      </c>
      <c r="T12" s="438">
        <f t="shared" si="3"/>
        <v>0.3611111111111111</v>
      </c>
      <c r="U12" s="439">
        <f t="shared" ca="1" si="4"/>
        <v>116.05555555555556</v>
      </c>
      <c r="V12" s="439">
        <f t="shared" ca="1" si="5"/>
        <v>16.666666666666668</v>
      </c>
      <c r="W12" s="439">
        <f t="shared" ca="1" si="6"/>
        <v>13.333333333333332</v>
      </c>
      <c r="X12" s="439">
        <f t="shared" ca="1" si="7"/>
        <v>14.444444444444443</v>
      </c>
      <c r="Y12" s="440">
        <f>SUMIF(【你的全部獎金】!$B$7:$B$26,$B12,【你的全部獎金】!$K$7:$K$26)</f>
        <v>3850</v>
      </c>
      <c r="Z12" s="440">
        <f ca="1">SUMIF(【你的全部獎金】!$B$7:$B$26,$B12,【你的全部獎金】!$L$7:$L$26)</f>
        <v>6902.6444444444442</v>
      </c>
      <c r="AA12" s="436">
        <f ca="1">SUMIF(【你的全部獎金】!$B$7:$B$26,$B12,【你的全部獎金】!$O$7:$O$26)</f>
        <v>3000</v>
      </c>
      <c r="AB12" s="440">
        <f ca="1">SUMIF(【你的全部獎金】!$B$7:$B$26,$B12,【你的全部獎金】!$Q$7:$Q$26)</f>
        <v>13752.644444444444</v>
      </c>
    </row>
    <row r="13" spans="1:28" ht="25.5" customHeight="1">
      <c r="A13" s="435" t="s">
        <v>19</v>
      </c>
      <c r="B13" s="435" t="s">
        <v>99</v>
      </c>
      <c r="C13" s="435" t="s">
        <v>100</v>
      </c>
      <c r="D13" s="436">
        <f>SUMIF(數據!$A:$A,$B13,數據!$C:$C)+SUMIF(數據!$A:$A,$B13,數據!$D:$D)</f>
        <v>15.5</v>
      </c>
      <c r="E13" s="436">
        <f>SUMIF(數據!$A:$A,$B13,數據!$I:$I)</f>
        <v>200.75</v>
      </c>
      <c r="F13" s="436">
        <f>SUMIF(數據!$A:$A,$B13,數據!$J:$J)+SUMIF(數據!$A:$A,$B13,數據!$K:$K)</f>
        <v>24</v>
      </c>
      <c r="G13" s="436">
        <f>SUMIF(數據!$A:$A,$B13,數據!$L:$L)+SUMIF(數據!$A:$A,$B13,數據!$M:$M)</f>
        <v>13</v>
      </c>
      <c r="H13" s="436">
        <f>SUMIF(數據!$A:$A,$B13,數據!$P:$P)+SUMIF(數據!$A:$A,$B13,數據!$Q:$Q)</f>
        <v>16</v>
      </c>
      <c r="I13" s="436">
        <f>SUMIF(數據!$A:$A,$B13,數據!$R:$R)+SUMIF(數據!$A:$A,$B13,數據!$S:$S)</f>
        <v>8</v>
      </c>
      <c r="J13" s="436">
        <f>SUMIF(數據!$A:$A,$B13,數據!$N:$N)+SUMIF(數據!$A:$A,$B13,數據!$O:$O)</f>
        <v>10</v>
      </c>
      <c r="K13" s="436">
        <f>SUMIF(數據!$A:$A,$B13,數據!$V:$V)+SUMIF(數據!$A:$A,$B13,數據!$W:$W)</f>
        <v>17</v>
      </c>
      <c r="L13" s="436">
        <f>SUMIF(數據!$A:$A,$B13,數據!$Z:$Z)+SUMIF(數據!$A:$A,$B13,數據!$AA:$AA)</f>
        <v>2.75</v>
      </c>
      <c r="M13" s="437">
        <f>SUMIF(■我的大類_重點目標!$C:$C,$B13,■我的大類_重點目標!$H:$H)</f>
        <v>259</v>
      </c>
      <c r="N13" s="437">
        <f>SUMIF(■我的大類_重點目標!$C:$C,$B13,■我的大類_重點目標!$I:$I)</f>
        <v>47</v>
      </c>
      <c r="O13" s="437">
        <f>SUMIF(■我的大類_重點目標!$C:$C,$B13,■我的大類_重點目標!$G:$G)</f>
        <v>38</v>
      </c>
      <c r="P13" s="437">
        <f>SUMIF(■我的大類_重點目標!$C:$C,$B13,■我的大類_重點目標!$N:$N)</f>
        <v>39</v>
      </c>
      <c r="Q13" s="438">
        <f t="shared" si="0"/>
        <v>0.77509652509652505</v>
      </c>
      <c r="R13" s="438">
        <f t="shared" si="1"/>
        <v>0.51063829787234039</v>
      </c>
      <c r="S13" s="438">
        <f t="shared" si="2"/>
        <v>0.40789473684210525</v>
      </c>
      <c r="T13" s="438">
        <f t="shared" si="3"/>
        <v>0.4358974358974359</v>
      </c>
      <c r="U13" s="439">
        <f t="shared" ca="1" si="4"/>
        <v>223.05555555555554</v>
      </c>
      <c r="V13" s="439">
        <f t="shared" ca="1" si="5"/>
        <v>26.666666666666664</v>
      </c>
      <c r="W13" s="439">
        <f t="shared" ca="1" si="6"/>
        <v>17.222222222222221</v>
      </c>
      <c r="X13" s="439">
        <f t="shared" ca="1" si="7"/>
        <v>18.888888888888889</v>
      </c>
      <c r="Y13" s="440">
        <f>SUMIF(【你的全部獎金】!$B$7:$B$26,$B13,【你的全部獎金】!$K$7:$K$26)</f>
        <v>6325</v>
      </c>
      <c r="Z13" s="440">
        <f ca="1">SUMIF(【你的全部獎金】!$B$7:$B$26,$B13,【你的全部獎金】!$L$7:$L$26)</f>
        <v>8606.3805555555555</v>
      </c>
      <c r="AA13" s="436">
        <f ca="1">SUMIF(【你的全部獎金】!$B$7:$B$26,$B13,【你的全部獎金】!$O$7:$O$26)</f>
        <v>5000</v>
      </c>
      <c r="AB13" s="440">
        <f ca="1">SUMIF(【你的全部獎金】!$B$7:$B$26,$B13,【你的全部獎金】!$Q$7:$Q$26)</f>
        <v>19931.380555555555</v>
      </c>
    </row>
    <row r="14" spans="1:28" ht="25.5" customHeight="1">
      <c r="A14" s="435" t="s">
        <v>19</v>
      </c>
      <c r="B14" s="435" t="s">
        <v>88</v>
      </c>
      <c r="C14" s="435" t="s">
        <v>89</v>
      </c>
      <c r="D14" s="436">
        <f>SUMIF(數據!$A:$A,$B14,數據!$C:$C)+SUMIF(數據!$A:$A,$B14,數據!$D:$D)</f>
        <v>12</v>
      </c>
      <c r="E14" s="436">
        <f>SUMIF(數據!$A:$A,$B14,數據!$I:$I)</f>
        <v>159.94999999999999</v>
      </c>
      <c r="F14" s="436">
        <f>SUMIF(數據!$A:$A,$B14,數據!$J:$J)+SUMIF(數據!$A:$A,$B14,數據!$K:$K)</f>
        <v>27</v>
      </c>
      <c r="G14" s="436">
        <f>SUMIF(數據!$A:$A,$B14,數據!$L:$L)+SUMIF(數據!$A:$A,$B14,數據!$M:$M)</f>
        <v>10</v>
      </c>
      <c r="H14" s="436">
        <f>SUMIF(數據!$A:$A,$B14,數據!$P:$P)+SUMIF(數據!$A:$A,$B14,數據!$Q:$Q)</f>
        <v>10</v>
      </c>
      <c r="I14" s="436">
        <f>SUMIF(數據!$A:$A,$B14,數據!$R:$R)+SUMIF(數據!$A:$A,$B14,數據!$S:$S)</f>
        <v>6</v>
      </c>
      <c r="J14" s="436">
        <f>SUMIF(數據!$A:$A,$B14,數據!$N:$N)+SUMIF(數據!$A:$A,$B14,數據!$O:$O)</f>
        <v>10</v>
      </c>
      <c r="K14" s="436">
        <f>SUMIF(數據!$A:$A,$B14,數據!$V:$V)+SUMIF(數據!$A:$A,$B14,數據!$W:$W)</f>
        <v>24</v>
      </c>
      <c r="L14" s="436">
        <f>SUMIF(數據!$A:$A,$B14,數據!$Z:$Z)+SUMIF(數據!$A:$A,$B14,數據!$AA:$AA)</f>
        <v>1.5</v>
      </c>
      <c r="M14" s="437">
        <f>SUMIF(■我的大類_重點目標!$C:$C,$B14,■我的大類_重點目標!$H:$H)</f>
        <v>332</v>
      </c>
      <c r="N14" s="437">
        <f>SUMIF(■我的大類_重點目標!$C:$C,$B14,■我的大類_重點目標!$I:$I)</f>
        <v>60</v>
      </c>
      <c r="O14" s="437">
        <f>SUMIF(■我的大類_重點目標!$C:$C,$B14,■我的大類_重點目標!$G:$G)</f>
        <v>38</v>
      </c>
      <c r="P14" s="437">
        <f>SUMIF(■我的大類_重點目標!$C:$C,$B14,■我的大類_重點目標!$N:$N)</f>
        <v>50</v>
      </c>
      <c r="Q14" s="438">
        <f t="shared" si="0"/>
        <v>0.48177710843373489</v>
      </c>
      <c r="R14" s="438">
        <f t="shared" si="1"/>
        <v>0.45</v>
      </c>
      <c r="S14" s="438">
        <f t="shared" si="2"/>
        <v>0.31578947368421051</v>
      </c>
      <c r="T14" s="438">
        <f t="shared" si="3"/>
        <v>0.48</v>
      </c>
      <c r="U14" s="439">
        <f t="shared" ca="1" si="4"/>
        <v>177.72222222222223</v>
      </c>
      <c r="V14" s="439">
        <f t="shared" ca="1" si="5"/>
        <v>30</v>
      </c>
      <c r="W14" s="439">
        <f t="shared" ca="1" si="6"/>
        <v>13.333333333333332</v>
      </c>
      <c r="X14" s="439">
        <f t="shared" ca="1" si="7"/>
        <v>26.666666666666664</v>
      </c>
      <c r="Y14" s="440">
        <f>SUMIF(【你的全部獎金】!$B$7:$B$26,$B14,【你的全部獎金】!$K$7:$K$26)</f>
        <v>4550</v>
      </c>
      <c r="Z14" s="440">
        <f ca="1">SUMIF(【你的全部獎金】!$B$7:$B$26,$B14,【你的全部獎金】!$L$7:$L$26)</f>
        <v>25720.014444444445</v>
      </c>
      <c r="AA14" s="436">
        <f ca="1">SUMIF(【你的全部獎金】!$B$7:$B$26,$B14,【你的全部獎金】!$O$7:$O$26)</f>
        <v>4000</v>
      </c>
      <c r="AB14" s="440">
        <f ca="1">SUMIF(【你的全部獎金】!$B$7:$B$26,$B14,【你的全部獎金】!$Q$7:$Q$26)</f>
        <v>42270.014444444445</v>
      </c>
    </row>
    <row r="15" spans="1:28" ht="25.5" customHeight="1">
      <c r="A15" s="435" t="s">
        <v>19</v>
      </c>
      <c r="B15" s="435" t="s">
        <v>107</v>
      </c>
      <c r="C15" s="435" t="s">
        <v>104</v>
      </c>
      <c r="D15" s="436">
        <f>SUMIF(數據!$A:$A,$B15,數據!$C:$C)+SUMIF(數據!$A:$A,$B15,數據!$D:$D)</f>
        <v>15</v>
      </c>
      <c r="E15" s="436">
        <f>SUMIF(數據!$A:$A,$B15,數據!$I:$I)</f>
        <v>79</v>
      </c>
      <c r="F15" s="436">
        <f>SUMIF(數據!$A:$A,$B15,數據!$J:$J)+SUMIF(數據!$A:$A,$B15,數據!$K:$K)</f>
        <v>16</v>
      </c>
      <c r="G15" s="436">
        <f>SUMIF(數據!$A:$A,$B15,數據!$L:$L)+SUMIF(數據!$A:$A,$B15,數據!$M:$M)</f>
        <v>5</v>
      </c>
      <c r="H15" s="436">
        <f>SUMIF(數據!$A:$A,$B15,數據!$P:$P)+SUMIF(數據!$A:$A,$B15,數據!$Q:$Q)</f>
        <v>5</v>
      </c>
      <c r="I15" s="436">
        <f>SUMIF(數據!$A:$A,$B15,數據!$R:$R)+SUMIF(數據!$A:$A,$B15,數據!$S:$S)</f>
        <v>4</v>
      </c>
      <c r="J15" s="436">
        <f>SUMIF(數據!$A:$A,$B15,數據!$N:$N)+SUMIF(數據!$A:$A,$B15,數據!$O:$O)</f>
        <v>6</v>
      </c>
      <c r="K15" s="436">
        <f>SUMIF(數據!$A:$A,$B15,數據!$V:$V)+SUMIF(數據!$A:$A,$B15,數據!$W:$W)</f>
        <v>9</v>
      </c>
      <c r="L15" s="436">
        <f>SUMIF(數據!$A:$A,$B15,數據!$Z:$Z)+SUMIF(數據!$A:$A,$B15,數據!$AA:$AA)</f>
        <v>0</v>
      </c>
      <c r="M15" s="437">
        <f>SUMIF(■我的大類_重點目標!$C:$C,$B15,■我的大類_重點目標!$H:$H)</f>
        <v>228</v>
      </c>
      <c r="N15" s="437">
        <f>SUMIF(■我的大類_重點目標!$C:$C,$B15,■我的大類_重點目標!$I:$I)</f>
        <v>42</v>
      </c>
      <c r="O15" s="437">
        <f>SUMIF(■我的大類_重點目標!$C:$C,$B15,■我的大類_重點目標!$G:$G)</f>
        <v>38</v>
      </c>
      <c r="P15" s="437">
        <f>SUMIF(■我的大類_重點目標!$C:$C,$B15,■我的大類_重點目標!$N:$N)</f>
        <v>34</v>
      </c>
      <c r="Q15" s="438">
        <f t="shared" si="0"/>
        <v>0.34649122807017546</v>
      </c>
      <c r="R15" s="438">
        <f t="shared" si="1"/>
        <v>0.38095238095238093</v>
      </c>
      <c r="S15" s="438">
        <f t="shared" si="2"/>
        <v>0.39473684210526316</v>
      </c>
      <c r="T15" s="438">
        <f t="shared" si="3"/>
        <v>0.26470588235294118</v>
      </c>
      <c r="U15" s="439">
        <f t="shared" ca="1" si="4"/>
        <v>87.777777777777786</v>
      </c>
      <c r="V15" s="439">
        <f t="shared" ca="1" si="5"/>
        <v>17.777777777777779</v>
      </c>
      <c r="W15" s="439">
        <f t="shared" ca="1" si="6"/>
        <v>16.666666666666668</v>
      </c>
      <c r="X15" s="439">
        <f t="shared" ca="1" si="7"/>
        <v>10</v>
      </c>
      <c r="Y15" s="440">
        <f>SUMIF(【你的全部獎金】!$B$7:$B$26,$B15,【你的全部獎金】!$K$7:$K$26)</f>
        <v>3300</v>
      </c>
      <c r="Z15" s="440">
        <f ca="1">SUMIF(【你的全部獎金】!$B$7:$B$26,$B15,【你的全部獎金】!$L$7:$L$26)</f>
        <v>0</v>
      </c>
      <c r="AA15" s="436">
        <f ca="1">SUMIF(【你的全部獎金】!$B$7:$B$26,$B15,【你的全部獎金】!$O$7:$O$26)</f>
        <v>3000</v>
      </c>
      <c r="AB15" s="440">
        <f ca="1">SUMIF(【你的全部獎金】!$B$7:$B$26,$B15,【你的全部獎金】!$Q$7:$Q$26)</f>
        <v>6300</v>
      </c>
    </row>
    <row r="16" spans="1:28" ht="25.5" customHeight="1">
      <c r="A16" s="435" t="s">
        <v>20</v>
      </c>
      <c r="B16" s="435" t="s">
        <v>93</v>
      </c>
      <c r="C16" s="435" t="s">
        <v>91</v>
      </c>
      <c r="D16" s="436">
        <f>SUMIF(數據!$A:$A,$B16,數據!$C:$C)+SUMIF(數據!$A:$A,$B16,數據!$D:$D)</f>
        <v>35.5</v>
      </c>
      <c r="E16" s="436">
        <f>SUMIF(數據!$A:$A,$B16,數據!$I:$I)</f>
        <v>263.95</v>
      </c>
      <c r="F16" s="436">
        <f>SUMIF(數據!$A:$A,$B16,數據!$J:$J)+SUMIF(數據!$A:$A,$B16,數據!$K:$K)</f>
        <v>31</v>
      </c>
      <c r="G16" s="436">
        <f>SUMIF(數據!$A:$A,$B16,數據!$L:$L)+SUMIF(數據!$A:$A,$B16,數據!$M:$M)</f>
        <v>20</v>
      </c>
      <c r="H16" s="436">
        <f>SUMIF(數據!$A:$A,$B16,數據!$P:$P)+SUMIF(數據!$A:$A,$B16,數據!$Q:$Q)</f>
        <v>20</v>
      </c>
      <c r="I16" s="436">
        <f>SUMIF(數據!$A:$A,$B16,數據!$R:$R)+SUMIF(數據!$A:$A,$B16,數據!$S:$S)</f>
        <v>14</v>
      </c>
      <c r="J16" s="436">
        <f>SUMIF(數據!$A:$A,$B16,數據!$N:$N)+SUMIF(數據!$A:$A,$B16,數據!$O:$O)</f>
        <v>8</v>
      </c>
      <c r="K16" s="436">
        <f>SUMIF(數據!$A:$A,$B16,數據!$V:$V)+SUMIF(數據!$A:$A,$B16,數據!$W:$W)</f>
        <v>24</v>
      </c>
      <c r="L16" s="436">
        <f>SUMIF(數據!$A:$A,$B16,數據!$Z:$Z)+SUMIF(數據!$A:$A,$B16,數據!$AA:$AA)</f>
        <v>1.25</v>
      </c>
      <c r="M16" s="437">
        <f>SUMIF(■我的大類_重點目標!$C:$C,$B16,■我的大類_重點目標!$H:$H)</f>
        <v>349</v>
      </c>
      <c r="N16" s="437">
        <f>SUMIF(■我的大類_重點目標!$C:$C,$B16,■我的大類_重點目標!$I:$I)</f>
        <v>64</v>
      </c>
      <c r="O16" s="437">
        <f>SUMIF(■我的大類_重點目標!$C:$C,$B16,■我的大類_重點目標!$G:$G)</f>
        <v>38</v>
      </c>
      <c r="P16" s="437">
        <f>SUMIF(■我的大類_重點目標!$C:$C,$B16,■我的大類_重點目標!$N:$N)</f>
        <v>53</v>
      </c>
      <c r="Q16" s="438">
        <f t="shared" si="0"/>
        <v>0.75630372492836673</v>
      </c>
      <c r="R16" s="438">
        <f t="shared" si="1"/>
        <v>0.484375</v>
      </c>
      <c r="S16" s="438">
        <f t="shared" si="2"/>
        <v>0.93421052631578949</v>
      </c>
      <c r="T16" s="438">
        <f t="shared" si="3"/>
        <v>0.45283018867924529</v>
      </c>
      <c r="U16" s="439">
        <f t="shared" ca="1" si="4"/>
        <v>293.27777777777777</v>
      </c>
      <c r="V16" s="439">
        <f t="shared" ca="1" si="5"/>
        <v>34.444444444444443</v>
      </c>
      <c r="W16" s="439">
        <f t="shared" ca="1" si="6"/>
        <v>39.444444444444443</v>
      </c>
      <c r="X16" s="439">
        <f t="shared" ca="1" si="7"/>
        <v>26.666666666666664</v>
      </c>
      <c r="Y16" s="440">
        <f>SUMIF(【你的全部獎金】!$B$7:$B$26,$B16,【你的全部獎金】!$K$7:$K$26)</f>
        <v>9275</v>
      </c>
      <c r="Z16" s="440">
        <f ca="1">SUMIF(【你的全部獎金】!$B$7:$B$26,$B16,【你的全部獎金】!$L$7:$L$26)</f>
        <v>23459.167999999998</v>
      </c>
      <c r="AA16" s="436">
        <f ca="1">SUMIF(【你的全部獎金】!$B$7:$B$26,$B16,【你的全部獎金】!$O$7:$O$26)</f>
        <v>5000</v>
      </c>
      <c r="AB16" s="440">
        <f ca="1">SUMIF(【你的全部獎金】!$B$7:$B$26,$B16,【你的全部獎金】!$Q$7:$Q$26)</f>
        <v>45734.167999999998</v>
      </c>
    </row>
    <row r="17" spans="1:28" ht="25.5" customHeight="1">
      <c r="A17" s="435" t="s">
        <v>20</v>
      </c>
      <c r="B17" s="435" t="s">
        <v>105</v>
      </c>
      <c r="C17" s="435" t="s">
        <v>100</v>
      </c>
      <c r="D17" s="436">
        <f>SUMIF(數據!$A:$A,$B17,數據!$C:$C)+SUMIF(數據!$A:$A,$B17,數據!$D:$D)</f>
        <v>11.5</v>
      </c>
      <c r="E17" s="436">
        <f>SUMIF(數據!$A:$A,$B17,數據!$I:$I)</f>
        <v>180.2</v>
      </c>
      <c r="F17" s="436">
        <f>SUMIF(數據!$A:$A,$B17,數據!$J:$J)+SUMIF(數據!$A:$A,$B17,數據!$K:$K)</f>
        <v>28</v>
      </c>
      <c r="G17" s="436">
        <f>SUMIF(數據!$A:$A,$B17,數據!$L:$L)+SUMIF(數據!$A:$A,$B17,數據!$M:$M)</f>
        <v>13</v>
      </c>
      <c r="H17" s="436">
        <f>SUMIF(數據!$A:$A,$B17,數據!$P:$P)+SUMIF(數據!$A:$A,$B17,數據!$Q:$Q)</f>
        <v>11</v>
      </c>
      <c r="I17" s="436">
        <f>SUMIF(數據!$A:$A,$B17,數據!$R:$R)+SUMIF(數據!$A:$A,$B17,數據!$S:$S)</f>
        <v>7</v>
      </c>
      <c r="J17" s="436">
        <f>SUMIF(數據!$A:$A,$B17,數據!$N:$N)+SUMIF(數據!$A:$A,$B17,數據!$O:$O)</f>
        <v>7</v>
      </c>
      <c r="K17" s="436">
        <f>SUMIF(數據!$A:$A,$B17,數據!$V:$V)+SUMIF(數據!$A:$A,$B17,數據!$W:$W)</f>
        <v>16</v>
      </c>
      <c r="L17" s="436">
        <f>SUMIF(數據!$A:$A,$B17,數據!$Z:$Z)+SUMIF(數據!$A:$A,$B17,數據!$AA:$AA)</f>
        <v>2.5</v>
      </c>
      <c r="M17" s="437">
        <f>SUMIF(■我的大類_重點目標!$C:$C,$B17,■我的大類_重點目標!$H:$H)</f>
        <v>382</v>
      </c>
      <c r="N17" s="437">
        <f>SUMIF(■我的大類_重點目標!$C:$C,$B17,■我的大類_重點目標!$I:$I)</f>
        <v>69</v>
      </c>
      <c r="O17" s="437">
        <f>SUMIF(■我的大類_重點目標!$C:$C,$B17,■我的大類_重點目標!$G:$G)</f>
        <v>38</v>
      </c>
      <c r="P17" s="437">
        <f>SUMIF(■我的大類_重點目標!$C:$C,$B17,■我的大類_重點目標!$N:$N)</f>
        <v>58</v>
      </c>
      <c r="Q17" s="438">
        <f t="shared" si="0"/>
        <v>0.47172774869109946</v>
      </c>
      <c r="R17" s="438">
        <f t="shared" si="1"/>
        <v>0.40579710144927539</v>
      </c>
      <c r="S17" s="438">
        <f t="shared" si="2"/>
        <v>0.30263157894736842</v>
      </c>
      <c r="T17" s="438">
        <f t="shared" si="3"/>
        <v>0.27586206896551724</v>
      </c>
      <c r="U17" s="439">
        <f t="shared" ca="1" si="4"/>
        <v>200.22222222222223</v>
      </c>
      <c r="V17" s="439">
        <f t="shared" ca="1" si="5"/>
        <v>31.111111111111111</v>
      </c>
      <c r="W17" s="439">
        <f t="shared" ca="1" si="6"/>
        <v>12.777777777777779</v>
      </c>
      <c r="X17" s="439">
        <f t="shared" ca="1" si="7"/>
        <v>17.777777777777779</v>
      </c>
      <c r="Y17" s="440">
        <f>SUMIF(【你的全部獎金】!$B$7:$B$26,$B17,【你的全部獎金】!$K$7:$K$26)</f>
        <v>5400</v>
      </c>
      <c r="Z17" s="440">
        <f ca="1">SUMIF(【你的全部獎金】!$B$7:$B$26,$B17,【你的全部獎金】!$L$7:$L$26)</f>
        <v>8669.6893333333337</v>
      </c>
      <c r="AA17" s="436">
        <f ca="1">SUMIF(【你的全部獎金】!$B$7:$B$26,$B17,【你的全部獎金】!$O$7:$O$26)</f>
        <v>3000</v>
      </c>
      <c r="AB17" s="440">
        <f ca="1">SUMIF(【你的全部獎金】!$B$7:$B$26,$B17,【你的全部獎金】!$Q$7:$Q$26)</f>
        <v>17069.689333333336</v>
      </c>
    </row>
    <row r="18" spans="1:28" ht="25.5" customHeight="1">
      <c r="A18" s="435" t="s">
        <v>20</v>
      </c>
      <c r="B18" s="435" t="s">
        <v>102</v>
      </c>
      <c r="C18" s="435" t="s">
        <v>89</v>
      </c>
      <c r="D18" s="436">
        <f>SUMIF(數據!$A:$A,$B18,數據!$C:$C)+SUMIF(數據!$A:$A,$B18,數據!$D:$D)</f>
        <v>14.5</v>
      </c>
      <c r="E18" s="436">
        <f>SUMIF(數據!$A:$A,$B18,數據!$I:$I)</f>
        <v>131.9</v>
      </c>
      <c r="F18" s="436">
        <f>SUMIF(數據!$A:$A,$B18,數據!$J:$J)+SUMIF(數據!$A:$A,$B18,數據!$K:$K)</f>
        <v>20</v>
      </c>
      <c r="G18" s="436">
        <f>SUMIF(數據!$A:$A,$B18,數據!$L:$L)+SUMIF(數據!$A:$A,$B18,數據!$M:$M)</f>
        <v>7</v>
      </c>
      <c r="H18" s="436">
        <f>SUMIF(數據!$A:$A,$B18,數據!$P:$P)+SUMIF(數據!$A:$A,$B18,數據!$Q:$Q)</f>
        <v>11</v>
      </c>
      <c r="I18" s="436">
        <f>SUMIF(數據!$A:$A,$B18,數據!$R:$R)+SUMIF(數據!$A:$A,$B18,數據!$S:$S)</f>
        <v>7</v>
      </c>
      <c r="J18" s="436">
        <f>SUMIF(數據!$A:$A,$B18,數據!$N:$N)+SUMIF(數據!$A:$A,$B18,數據!$O:$O)</f>
        <v>5</v>
      </c>
      <c r="K18" s="436">
        <f>SUMIF(數據!$A:$A,$B18,數據!$V:$V)+SUMIF(數據!$A:$A,$B18,數據!$W:$W)</f>
        <v>17</v>
      </c>
      <c r="L18" s="436">
        <f>SUMIF(數據!$A:$A,$B18,數據!$Z:$Z)+SUMIF(數據!$A:$A,$B18,數據!$AA:$AA)</f>
        <v>0</v>
      </c>
      <c r="M18" s="437">
        <f>SUMIF(■我的大類_重點目標!$C:$C,$B18,■我的大類_重點目標!$H:$H)</f>
        <v>328</v>
      </c>
      <c r="N18" s="437">
        <f>SUMIF(■我的大類_重點目標!$C:$C,$B18,■我的大類_重點目標!$I:$I)</f>
        <v>60</v>
      </c>
      <c r="O18" s="437">
        <f>SUMIF(■我的大類_重點目標!$C:$C,$B18,■我的大類_重點目標!$G:$G)</f>
        <v>38</v>
      </c>
      <c r="P18" s="437">
        <f>SUMIF(■我的大類_重點目標!$C:$C,$B18,■我的大類_重點目標!$N:$N)</f>
        <v>50</v>
      </c>
      <c r="Q18" s="438">
        <f t="shared" si="0"/>
        <v>0.40213414634146344</v>
      </c>
      <c r="R18" s="438">
        <f t="shared" si="1"/>
        <v>0.33333333333333331</v>
      </c>
      <c r="S18" s="438">
        <f t="shared" si="2"/>
        <v>0.38157894736842107</v>
      </c>
      <c r="T18" s="438">
        <f t="shared" si="3"/>
        <v>0.34</v>
      </c>
      <c r="U18" s="439">
        <f t="shared" ca="1" si="4"/>
        <v>146.55555555555557</v>
      </c>
      <c r="V18" s="439">
        <f t="shared" ca="1" si="5"/>
        <v>22.222222222222221</v>
      </c>
      <c r="W18" s="439">
        <f t="shared" ca="1" si="6"/>
        <v>16.111111111111114</v>
      </c>
      <c r="X18" s="439">
        <f t="shared" ca="1" si="7"/>
        <v>18.888888888888889</v>
      </c>
      <c r="Y18" s="440">
        <f>SUMIF(【你的全部獎金】!$B$7:$B$26,$B18,【你的全部獎金】!$K$7:$K$26)</f>
        <v>3650</v>
      </c>
      <c r="Z18" s="440">
        <f ca="1">SUMIF(【你的全部獎金】!$B$7:$B$26,$B18,【你的全部獎金】!$L$7:$L$26)</f>
        <v>8287.5997777777775</v>
      </c>
      <c r="AA18" s="436">
        <f ca="1">SUMIF(【你的全部獎金】!$B$7:$B$26,$B18,【你的全部獎金】!$O$7:$O$26)</f>
        <v>0</v>
      </c>
      <c r="AB18" s="440">
        <f ca="1">SUMIF(【你的全部獎金】!$B$7:$B$26,$B18,【你的全部獎金】!$Q$7:$Q$26)</f>
        <v>11937.599777777777</v>
      </c>
    </row>
    <row r="19" spans="1:28" ht="25.5" customHeight="1">
      <c r="A19" s="435" t="s">
        <v>20</v>
      </c>
      <c r="B19" s="435" t="s">
        <v>111</v>
      </c>
      <c r="C19" s="435" t="s">
        <v>104</v>
      </c>
      <c r="D19" s="436">
        <f>SUMIF(數據!$A:$A,$B19,數據!$C:$C)+SUMIF(數據!$A:$A,$B19,數據!$D:$D)</f>
        <v>12</v>
      </c>
      <c r="E19" s="436">
        <f>SUMIF(數據!$A:$A,$B19,數據!$I:$I)</f>
        <v>184.75</v>
      </c>
      <c r="F19" s="436">
        <f>SUMIF(數據!$A:$A,$B19,數據!$J:$J)+SUMIF(數據!$A:$A,$B19,數據!$K:$K)</f>
        <v>18</v>
      </c>
      <c r="G19" s="436">
        <f>SUMIF(數據!$A:$A,$B19,數據!$L:$L)+SUMIF(數據!$A:$A,$B19,數據!$M:$M)</f>
        <v>8</v>
      </c>
      <c r="H19" s="436">
        <f>SUMIF(數據!$A:$A,$B19,數據!$P:$P)+SUMIF(數據!$A:$A,$B19,數據!$Q:$Q)</f>
        <v>10</v>
      </c>
      <c r="I19" s="436">
        <f>SUMIF(數據!$A:$A,$B19,數據!$R:$R)+SUMIF(數據!$A:$A,$B19,數據!$S:$S)</f>
        <v>7</v>
      </c>
      <c r="J19" s="436">
        <f>SUMIF(數據!$A:$A,$B19,數據!$N:$N)+SUMIF(數據!$A:$A,$B19,數據!$O:$O)</f>
        <v>7</v>
      </c>
      <c r="K19" s="436">
        <f>SUMIF(數據!$A:$A,$B19,數據!$V:$V)+SUMIF(數據!$A:$A,$B19,數據!$W:$W)</f>
        <v>14</v>
      </c>
      <c r="L19" s="436">
        <f>SUMIF(數據!$A:$A,$B19,數據!$Z:$Z)+SUMIF(數據!$A:$A,$B19,數據!$AA:$AA)</f>
        <v>0</v>
      </c>
      <c r="M19" s="437">
        <f>SUMIF(■我的大類_重點目標!$C:$C,$B19,■我的大類_重點目標!$H:$H)</f>
        <v>228</v>
      </c>
      <c r="N19" s="437">
        <f>SUMIF(■我的大類_重點目標!$C:$C,$B19,■我的大類_重點目標!$I:$I)</f>
        <v>41</v>
      </c>
      <c r="O19" s="437">
        <f>SUMIF(■我的大類_重點目標!$C:$C,$B19,■我的大類_重點目標!$G:$G)</f>
        <v>38</v>
      </c>
      <c r="P19" s="437">
        <f>SUMIF(■我的大類_重點目標!$C:$C,$B19,■我的大類_重點目標!$N:$N)</f>
        <v>34</v>
      </c>
      <c r="Q19" s="438">
        <f t="shared" si="0"/>
        <v>0.8103070175438597</v>
      </c>
      <c r="R19" s="438">
        <f t="shared" si="1"/>
        <v>0.43902439024390244</v>
      </c>
      <c r="S19" s="438">
        <f t="shared" si="2"/>
        <v>0.31578947368421051</v>
      </c>
      <c r="T19" s="438">
        <f t="shared" si="3"/>
        <v>0.41176470588235292</v>
      </c>
      <c r="U19" s="439">
        <f t="shared" ca="1" si="4"/>
        <v>205.27777777777777</v>
      </c>
      <c r="V19" s="439">
        <f t="shared" ca="1" si="5"/>
        <v>20</v>
      </c>
      <c r="W19" s="439">
        <f t="shared" ca="1" si="6"/>
        <v>13.333333333333332</v>
      </c>
      <c r="X19" s="439">
        <f t="shared" ca="1" si="7"/>
        <v>15.555555555555555</v>
      </c>
      <c r="Y19" s="440">
        <f>SUMIF(【你的全部獎金】!$B$7:$B$26,$B19,【你的全部獎金】!$K$7:$K$26)</f>
        <v>3700</v>
      </c>
      <c r="Z19" s="440">
        <f ca="1">SUMIF(【你的全部獎金】!$B$7:$B$26,$B19,【你的全部獎金】!$L$7:$L$26)</f>
        <v>5000</v>
      </c>
      <c r="AA19" s="436">
        <f ca="1">SUMIF(【你的全部獎金】!$B$7:$B$26,$B19,【你的全部獎金】!$O$7:$O$26)</f>
        <v>4000</v>
      </c>
      <c r="AB19" s="440">
        <f ca="1">SUMIF(【你的全部獎金】!$B$7:$B$26,$B19,【你的全部獎金】!$Q$7:$Q$26)</f>
        <v>15700</v>
      </c>
    </row>
    <row r="20" spans="1:28" ht="25.5" customHeight="1">
      <c r="A20" s="435" t="s">
        <v>21</v>
      </c>
      <c r="B20" s="435" t="s">
        <v>90</v>
      </c>
      <c r="C20" s="435" t="s">
        <v>91</v>
      </c>
      <c r="D20" s="436">
        <f>SUMIF(數據!$A:$A,$B20,數據!$C:$C)+SUMIF(數據!$A:$A,$B20,數據!$D:$D)</f>
        <v>22</v>
      </c>
      <c r="E20" s="436">
        <f>SUMIF(數據!$A:$A,$B20,數據!$I:$I)</f>
        <v>200.5</v>
      </c>
      <c r="F20" s="436">
        <f>SUMIF(數據!$A:$A,$B20,數據!$J:$J)+SUMIF(數據!$A:$A,$B20,數據!$K:$K)</f>
        <v>35</v>
      </c>
      <c r="G20" s="436">
        <f>SUMIF(數據!$A:$A,$B20,數據!$L:$L)+SUMIF(數據!$A:$A,$B20,數據!$M:$M)</f>
        <v>17</v>
      </c>
      <c r="H20" s="436">
        <f>SUMIF(數據!$A:$A,$B20,數據!$P:$P)+SUMIF(數據!$A:$A,$B20,數據!$Q:$Q)</f>
        <v>15</v>
      </c>
      <c r="I20" s="436">
        <f>SUMIF(數據!$A:$A,$B20,數據!$R:$R)+SUMIF(數據!$A:$A,$B20,數據!$S:$S)</f>
        <v>8</v>
      </c>
      <c r="J20" s="436">
        <f>SUMIF(數據!$A:$A,$B20,數據!$N:$N)+SUMIF(數據!$A:$A,$B20,數據!$O:$O)</f>
        <v>10</v>
      </c>
      <c r="K20" s="436">
        <f>SUMIF(數據!$A:$A,$B20,數據!$V:$V)+SUMIF(數據!$A:$A,$B20,數據!$W:$W)</f>
        <v>19</v>
      </c>
      <c r="L20" s="436">
        <f>SUMIF(數據!$A:$A,$B20,數據!$Z:$Z)+SUMIF(數據!$A:$A,$B20,數據!$AA:$AA)</f>
        <v>5.5</v>
      </c>
      <c r="M20" s="437">
        <f>SUMIF(■我的大類_重點目標!$C:$C,$B20,■我的大類_重點目標!$H:$H)</f>
        <v>329</v>
      </c>
      <c r="N20" s="437">
        <f>SUMIF(■我的大類_重點目標!$C:$C,$B20,■我的大類_重點目標!$I:$I)</f>
        <v>60</v>
      </c>
      <c r="O20" s="437">
        <f>SUMIF(■我的大類_重點目標!$C:$C,$B20,■我的大類_重點目標!$G:$G)</f>
        <v>38</v>
      </c>
      <c r="P20" s="437">
        <f>SUMIF(■我的大類_重點目標!$C:$C,$B20,■我的大類_重點目標!$N:$N)</f>
        <v>48</v>
      </c>
      <c r="Q20" s="438">
        <f t="shared" si="0"/>
        <v>0.60942249240121582</v>
      </c>
      <c r="R20" s="438">
        <f t="shared" si="1"/>
        <v>0.58333333333333337</v>
      </c>
      <c r="S20" s="438">
        <f t="shared" si="2"/>
        <v>0.57894736842105265</v>
      </c>
      <c r="T20" s="438">
        <f t="shared" si="3"/>
        <v>0.39583333333333331</v>
      </c>
      <c r="U20" s="439">
        <f t="shared" ca="1" si="4"/>
        <v>222.77777777777777</v>
      </c>
      <c r="V20" s="439">
        <f t="shared" ca="1" si="5"/>
        <v>38.888888888888886</v>
      </c>
      <c r="W20" s="439">
        <f t="shared" ca="1" si="6"/>
        <v>24.444444444444443</v>
      </c>
      <c r="X20" s="439">
        <f t="shared" ca="1" si="7"/>
        <v>21.111111111111111</v>
      </c>
      <c r="Y20" s="440">
        <f>SUMIF(【你的全部獎金】!$B$7:$B$26,$B20,【你的全部獎金】!$K$7:$K$26)</f>
        <v>9050</v>
      </c>
      <c r="Z20" s="440">
        <f ca="1">SUMIF(【你的全部獎金】!$B$7:$B$26,$B20,【你的全部獎金】!$L$7:$L$26)</f>
        <v>28240.482555555558</v>
      </c>
      <c r="AA20" s="436">
        <f ca="1">SUMIF(【你的全部獎金】!$B$7:$B$26,$B20,【你的全部獎金】!$O$7:$O$26)</f>
        <v>5000</v>
      </c>
      <c r="AB20" s="440">
        <f ca="1">SUMIF(【你的全部獎金】!$B$7:$B$26,$B20,【你的全部獎金】!$Q$7:$Q$26)</f>
        <v>45290.482555555558</v>
      </c>
    </row>
    <row r="21" spans="1:28" ht="25.5" customHeight="1">
      <c r="A21" s="435" t="s">
        <v>21</v>
      </c>
      <c r="B21" s="435" t="s">
        <v>109</v>
      </c>
      <c r="C21" s="435" t="s">
        <v>89</v>
      </c>
      <c r="D21" s="436">
        <f>SUMIF(數據!$A:$A,$B21,數據!$C:$C)+SUMIF(數據!$A:$A,$B21,數據!$D:$D)</f>
        <v>25.5</v>
      </c>
      <c r="E21" s="436">
        <f>SUMIF(數據!$A:$A,$B21,數據!$I:$I)</f>
        <v>172.75</v>
      </c>
      <c r="F21" s="436">
        <f>SUMIF(數據!$A:$A,$B21,數據!$J:$J)+SUMIF(數據!$A:$A,$B21,數據!$K:$K)</f>
        <v>22</v>
      </c>
      <c r="G21" s="436">
        <f>SUMIF(數據!$A:$A,$B21,數據!$L:$L)+SUMIF(數據!$A:$A,$B21,數據!$M:$M)</f>
        <v>11</v>
      </c>
      <c r="H21" s="436">
        <f>SUMIF(數據!$A:$A,$B21,數據!$P:$P)+SUMIF(數據!$A:$A,$B21,數據!$Q:$Q)</f>
        <v>15</v>
      </c>
      <c r="I21" s="436">
        <f>SUMIF(數據!$A:$A,$B21,數據!$R:$R)+SUMIF(數據!$A:$A,$B21,數據!$S:$S)</f>
        <v>7</v>
      </c>
      <c r="J21" s="436">
        <f>SUMIF(數據!$A:$A,$B21,數據!$N:$N)+SUMIF(數據!$A:$A,$B21,數據!$O:$O)</f>
        <v>9</v>
      </c>
      <c r="K21" s="436">
        <f>SUMIF(數據!$A:$A,$B21,數據!$V:$V)+SUMIF(數據!$A:$A,$B21,數據!$W:$W)</f>
        <v>20</v>
      </c>
      <c r="L21" s="436">
        <f>SUMIF(數據!$A:$A,$B21,數據!$Z:$Z)+SUMIF(數據!$A:$A,$B21,數據!$AA:$AA)</f>
        <v>2</v>
      </c>
      <c r="M21" s="437">
        <f>SUMIF(■我的大類_重點目標!$C:$C,$B21,■我的大類_重點目標!$H:$H)</f>
        <v>291</v>
      </c>
      <c r="N21" s="437">
        <f>SUMIF(■我的大類_重點目標!$C:$C,$B21,■我的大類_重點目標!$I:$I)</f>
        <v>53</v>
      </c>
      <c r="O21" s="437">
        <f>SUMIF(■我的大類_重點目標!$C:$C,$B21,■我的大類_重點目標!$G:$G)</f>
        <v>38</v>
      </c>
      <c r="P21" s="437">
        <f>SUMIF(■我的大類_重點目標!$C:$C,$B21,■我的大類_重點目標!$N:$N)</f>
        <v>43</v>
      </c>
      <c r="Q21" s="438">
        <f t="shared" si="0"/>
        <v>0.5936426116838488</v>
      </c>
      <c r="R21" s="438">
        <f t="shared" si="1"/>
        <v>0.41509433962264153</v>
      </c>
      <c r="S21" s="438">
        <f t="shared" si="2"/>
        <v>0.67105263157894735</v>
      </c>
      <c r="T21" s="438">
        <f t="shared" si="3"/>
        <v>0.46511627906976744</v>
      </c>
      <c r="U21" s="439">
        <f t="shared" ca="1" si="4"/>
        <v>191.94444444444443</v>
      </c>
      <c r="V21" s="439">
        <f t="shared" ca="1" si="5"/>
        <v>24.444444444444443</v>
      </c>
      <c r="W21" s="439">
        <f t="shared" ca="1" si="6"/>
        <v>28.333333333333332</v>
      </c>
      <c r="X21" s="439">
        <f t="shared" ca="1" si="7"/>
        <v>22.222222222222221</v>
      </c>
      <c r="Y21" s="440">
        <f>SUMIF(【你的全部獎金】!$B$7:$B$26,$B21,【你的全部獎金】!$K$7:$K$26)</f>
        <v>6850</v>
      </c>
      <c r="Z21" s="440">
        <f ca="1">SUMIF(【你的全部獎金】!$B$7:$B$26,$B21,【你的全部獎金】!$L$7:$L$26)</f>
        <v>10024.66</v>
      </c>
      <c r="AA21" s="436">
        <f ca="1">SUMIF(【你的全部獎金】!$B$7:$B$26,$B21,【你的全部獎金】!$O$7:$O$26)</f>
        <v>4000</v>
      </c>
      <c r="AB21" s="440">
        <f ca="1">SUMIF(【你的全部獎金】!$B$7:$B$26,$B21,【你的全部獎金】!$Q$7:$Q$26)</f>
        <v>23874.66</v>
      </c>
    </row>
    <row r="22" spans="1:28" ht="25.5" hidden="1" customHeight="1">
      <c r="A22" s="435"/>
      <c r="B22" s="435"/>
      <c r="C22" s="505"/>
      <c r="D22" s="436"/>
      <c r="E22" s="436"/>
      <c r="F22" s="436"/>
      <c r="G22" s="436"/>
      <c r="H22" s="436"/>
      <c r="I22" s="436"/>
      <c r="J22" s="436"/>
      <c r="K22" s="436"/>
      <c r="L22" s="436"/>
      <c r="M22" s="437"/>
      <c r="N22" s="437"/>
      <c r="O22" s="437"/>
      <c r="P22" s="437"/>
      <c r="Q22" s="438"/>
      <c r="R22" s="438"/>
      <c r="S22" s="438"/>
      <c r="T22" s="438"/>
      <c r="U22" s="439"/>
      <c r="V22" s="439"/>
      <c r="W22" s="439"/>
      <c r="X22" s="439"/>
      <c r="Y22" s="440"/>
      <c r="Z22" s="440"/>
      <c r="AA22" s="436"/>
      <c r="AB22" s="440"/>
    </row>
    <row r="23" spans="1:28" ht="25.5" customHeight="1">
      <c r="A23" s="435" t="s">
        <v>21</v>
      </c>
      <c r="B23" s="435" t="s">
        <v>103</v>
      </c>
      <c r="C23" s="435" t="s">
        <v>104</v>
      </c>
      <c r="D23" s="436">
        <f>SUMIF(數據!$A:$A,$B23,數據!$C:$C)+SUMIF(數據!$A:$A,$B23,數據!$D:$D)</f>
        <v>12</v>
      </c>
      <c r="E23" s="436">
        <f>SUMIF(數據!$A:$A,$B23,數據!$I:$I)</f>
        <v>99.2</v>
      </c>
      <c r="F23" s="436">
        <f>SUMIF(數據!$A:$A,$B23,數據!$J:$J)+SUMIF(數據!$A:$A,$B23,數據!$K:$K)</f>
        <v>15</v>
      </c>
      <c r="G23" s="436">
        <f>SUMIF(數據!$A:$A,$B23,數據!$L:$L)+SUMIF(數據!$A:$A,$B23,數據!$M:$M)</f>
        <v>10</v>
      </c>
      <c r="H23" s="436">
        <f>SUMIF(數據!$A:$A,$B23,數據!$P:$P)+SUMIF(數據!$A:$A,$B23,數據!$Q:$Q)</f>
        <v>6</v>
      </c>
      <c r="I23" s="436">
        <f>SUMIF(數據!$A:$A,$B23,數據!$R:$R)+SUMIF(數據!$A:$A,$B23,數據!$S:$S)</f>
        <v>2</v>
      </c>
      <c r="J23" s="436">
        <f>SUMIF(數據!$A:$A,$B23,數據!$N:$N)+SUMIF(數據!$A:$A,$B23,數據!$O:$O)</f>
        <v>5</v>
      </c>
      <c r="K23" s="436">
        <f>SUMIF(數據!$A:$A,$B23,數據!$V:$V)+SUMIF(數據!$A:$A,$B23,數據!$W:$W)</f>
        <v>14</v>
      </c>
      <c r="L23" s="436">
        <f>SUMIF(數據!$A:$A,$B23,數據!$Z:$Z)+SUMIF(數據!$A:$A,$B23,數據!$AA:$AA)</f>
        <v>2.5</v>
      </c>
      <c r="M23" s="437">
        <f>SUMIF(■我的大類_重點目標!$C:$C,$B23,■我的大類_重點目標!$H:$H)</f>
        <v>238</v>
      </c>
      <c r="N23" s="437">
        <f>SUMIF(■我的大類_重點目標!$C:$C,$B23,■我的大類_重點目標!$I:$I)</f>
        <v>43</v>
      </c>
      <c r="O23" s="437">
        <f>SUMIF(■我的大類_重點目標!$C:$C,$B23,■我的大類_重點目標!$G:$G)</f>
        <v>38</v>
      </c>
      <c r="P23" s="437">
        <f>SUMIF(■我的大類_重點目標!$C:$C,$B23,■我的大類_重點目標!$N:$N)</f>
        <v>35</v>
      </c>
      <c r="Q23" s="438">
        <f t="shared" si="0"/>
        <v>0.41680672268907565</v>
      </c>
      <c r="R23" s="438">
        <f t="shared" si="1"/>
        <v>0.34883720930232559</v>
      </c>
      <c r="S23" s="438">
        <f t="shared" si="2"/>
        <v>0.31578947368421051</v>
      </c>
      <c r="T23" s="438">
        <f t="shared" si="3"/>
        <v>0.4</v>
      </c>
      <c r="U23" s="439">
        <f t="shared" ca="1" si="4"/>
        <v>110.22222222222223</v>
      </c>
      <c r="V23" s="439">
        <f t="shared" ca="1" si="5"/>
        <v>16.666666666666668</v>
      </c>
      <c r="W23" s="439">
        <f t="shared" ca="1" si="6"/>
        <v>13.333333333333332</v>
      </c>
      <c r="X23" s="439">
        <f t="shared" ca="1" si="7"/>
        <v>15.555555555555555</v>
      </c>
      <c r="Y23" s="440">
        <f>SUMIF(【你的全部獎金】!$B$7:$B$26,$B23,【你的全部獎金】!$K$7:$K$26)</f>
        <v>4450</v>
      </c>
      <c r="Z23" s="440">
        <f ca="1">SUMIF(【你的全部獎金】!$B$7:$B$26,$B23,【你的全部獎金】!$L$7:$L$26)</f>
        <v>6621.9688888888886</v>
      </c>
      <c r="AA23" s="436">
        <f ca="1">SUMIF(【你的全部獎金】!$B$7:$B$26,$B23,【你的全部獎金】!$O$7:$O$26)</f>
        <v>3000</v>
      </c>
      <c r="AB23" s="440">
        <f ca="1">SUMIF(【你的全部獎金】!$B$7:$B$26,$B23,【你的全部獎金】!$Q$7:$Q$26)</f>
        <v>14071.968888888889</v>
      </c>
    </row>
    <row r="24" spans="1:28" ht="25.5" customHeight="1">
      <c r="A24" s="435" t="s">
        <v>21</v>
      </c>
      <c r="B24" s="435" t="s">
        <v>112</v>
      </c>
      <c r="C24" s="435" t="s">
        <v>113</v>
      </c>
      <c r="D24" s="436">
        <f>SUMIF(數據!$A:$A,$B24,數據!$C:$C)+SUMIF(數據!$A:$A,$B24,數據!$D:$D)</f>
        <v>8</v>
      </c>
      <c r="E24" s="436">
        <f>SUMIF(數據!$A:$A,$B24,數據!$I:$I)</f>
        <v>133</v>
      </c>
      <c r="F24" s="436">
        <f>SUMIF(數據!$A:$A,$B24,數據!$J:$J)+SUMIF(數據!$A:$A,$B24,數據!$K:$K)</f>
        <v>15</v>
      </c>
      <c r="G24" s="436">
        <f>SUMIF(數據!$A:$A,$B24,數據!$L:$L)+SUMIF(數據!$A:$A,$B24,數據!$M:$M)</f>
        <v>11</v>
      </c>
      <c r="H24" s="436">
        <f>SUMIF(數據!$A:$A,$B24,數據!$P:$P)+SUMIF(數據!$A:$A,$B24,數據!$Q:$Q)</f>
        <v>7</v>
      </c>
      <c r="I24" s="436">
        <f>SUMIF(數據!$A:$A,$B24,數據!$R:$R)+SUMIF(數據!$A:$A,$B24,數據!$S:$S)</f>
        <v>5</v>
      </c>
      <c r="J24" s="436">
        <f>SUMIF(數據!$A:$A,$B24,數據!$N:$N)+SUMIF(數據!$A:$A,$B24,數據!$O:$O)</f>
        <v>3</v>
      </c>
      <c r="K24" s="436">
        <f>SUMIF(數據!$A:$A,$B24,數據!$V:$V)+SUMIF(數據!$A:$A,$B24,數據!$W:$W)</f>
        <v>11</v>
      </c>
      <c r="L24" s="436">
        <f>SUMIF(數據!$A:$A,$B24,數據!$Z:$Z)+SUMIF(數據!$A:$A,$B24,數據!$AA:$AA)</f>
        <v>0</v>
      </c>
      <c r="M24" s="437">
        <f>SUMIF(■我的大類_重點目標!$C:$C,$B24,■我的大類_重點目標!$H:$H)</f>
        <v>167</v>
      </c>
      <c r="N24" s="437">
        <f>SUMIF(■我的大類_重點目標!$C:$C,$B24,■我的大類_重點目標!$I:$I)</f>
        <v>30</v>
      </c>
      <c r="O24" s="437">
        <f>SUMIF(■我的大類_重點目標!$C:$C,$B24,■我的大類_重點目標!$G:$G)</f>
        <v>16</v>
      </c>
      <c r="P24" s="437">
        <f>SUMIF(■我的大類_重點目標!$C:$C,$B24,■我的大類_重點目標!$N:$N)</f>
        <v>24</v>
      </c>
      <c r="Q24" s="438">
        <f t="shared" si="0"/>
        <v>0.79640718562874246</v>
      </c>
      <c r="R24" s="438">
        <f t="shared" si="1"/>
        <v>0.5</v>
      </c>
      <c r="S24" s="438">
        <f t="shared" si="2"/>
        <v>0.5</v>
      </c>
      <c r="T24" s="438">
        <f t="shared" si="3"/>
        <v>0.45833333333333331</v>
      </c>
      <c r="U24" s="439">
        <f t="shared" ca="1" si="4"/>
        <v>147.77777777777777</v>
      </c>
      <c r="V24" s="439">
        <f t="shared" ca="1" si="5"/>
        <v>16.666666666666668</v>
      </c>
      <c r="W24" s="439">
        <f t="shared" ca="1" si="6"/>
        <v>8.8888888888888893</v>
      </c>
      <c r="X24" s="439">
        <f t="shared" ca="1" si="7"/>
        <v>12.222222222222221</v>
      </c>
      <c r="Y24" s="440">
        <f>SUMIF(【你的全部獎金】!$B$7:$B$26,$B24,【你的全部獎金】!$K$7:$K$26)</f>
        <v>2700</v>
      </c>
      <c r="Z24" s="440">
        <f ca="1">SUMIF(【你的全部獎金】!$B$7:$B$26,$B24,【你的全部獎金】!$L$7:$L$26)</f>
        <v>0</v>
      </c>
      <c r="AA24" s="436">
        <f ca="1">SUMIF(【你的全部獎金】!$B$7:$B$26,$B24,【你的全部獎金】!$O$7:$O$26)</f>
        <v>5000</v>
      </c>
      <c r="AB24" s="440">
        <f ca="1">SUMIF(【你的全部獎金】!$B$7:$B$26,$B24,【你的全部獎金】!$Q$7:$Q$26)</f>
        <v>7700</v>
      </c>
    </row>
  </sheetData>
  <autoFilter ref="A4:AB4" xr:uid="{00000000-0001-0000-0C00-000000000000}"/>
  <mergeCells count="8">
    <mergeCell ref="A1:AB1"/>
    <mergeCell ref="B2:C2"/>
    <mergeCell ref="A3:C3"/>
    <mergeCell ref="D3:L3"/>
    <mergeCell ref="M3:P3"/>
    <mergeCell ref="Q3:T3"/>
    <mergeCell ref="U3:X3"/>
    <mergeCell ref="Y3:AB3"/>
  </mergeCells>
  <phoneticPr fontId="14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73"/>
  <sheetViews>
    <sheetView zoomScale="160" zoomScaleNormal="160" workbookViewId="0">
      <pane xSplit="3" ySplit="4" topLeftCell="D191" activePane="bottomRight" state="frozen"/>
      <selection pane="topRight" activeCell="D1" sqref="D1"/>
      <selection pane="bottomLeft" activeCell="A167" sqref="A167"/>
      <selection pane="bottomRight" activeCell="G195" sqref="G195"/>
    </sheetView>
  </sheetViews>
  <sheetFormatPr defaultColWidth="8.5703125" defaultRowHeight="15.75"/>
  <cols>
    <col min="1" max="1" width="14.5703125" customWidth="1"/>
    <col min="3" max="3" width="10.5703125" customWidth="1"/>
    <col min="4" max="4" width="12" customWidth="1"/>
    <col min="5" max="8" width="10.42578125" customWidth="1"/>
    <col min="9" max="9" width="10.5703125" customWidth="1"/>
    <col min="10" max="10" width="11.42578125" customWidth="1"/>
    <col min="11" max="11" width="11.5703125" customWidth="1"/>
    <col min="13" max="13" width="10" customWidth="1"/>
    <col min="20" max="20" width="10.7109375" customWidth="1"/>
  </cols>
  <sheetData>
    <row r="1" spans="1:30" ht="25.5" customHeight="1">
      <c r="A1" s="578" t="s">
        <v>373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</row>
    <row r="2" spans="1:30" ht="25.5" customHeight="1">
      <c r="A2" s="582" t="s">
        <v>374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</row>
    <row r="3" spans="1:30" ht="25.5" customHeight="1">
      <c r="A3" s="441" t="s">
        <v>375</v>
      </c>
      <c r="B3" s="441" t="s">
        <v>8</v>
      </c>
      <c r="C3" s="441" t="s">
        <v>7</v>
      </c>
      <c r="D3" s="442" t="s">
        <v>376</v>
      </c>
      <c r="E3" s="443" t="s">
        <v>377</v>
      </c>
      <c r="F3" s="443" t="s">
        <v>124</v>
      </c>
      <c r="G3" s="443" t="s">
        <v>378</v>
      </c>
      <c r="H3" s="443" t="s">
        <v>379</v>
      </c>
      <c r="I3" s="443" t="s">
        <v>380</v>
      </c>
      <c r="J3" s="443" t="s">
        <v>381</v>
      </c>
      <c r="K3" s="441" t="s">
        <v>250</v>
      </c>
      <c r="L3" s="441" t="s">
        <v>382</v>
      </c>
      <c r="M3" s="441" t="s">
        <v>249</v>
      </c>
      <c r="N3" s="441" t="s">
        <v>383</v>
      </c>
      <c r="O3" s="441" t="s">
        <v>384</v>
      </c>
      <c r="P3" s="441" t="s">
        <v>385</v>
      </c>
      <c r="Q3" s="441" t="s">
        <v>251</v>
      </c>
      <c r="R3" s="442" t="s">
        <v>386</v>
      </c>
      <c r="S3" s="442" t="s">
        <v>387</v>
      </c>
      <c r="T3" s="441" t="s">
        <v>388</v>
      </c>
      <c r="U3" s="442" t="s">
        <v>389</v>
      </c>
      <c r="V3" s="443" t="s">
        <v>252</v>
      </c>
      <c r="W3" s="444" t="s">
        <v>390</v>
      </c>
      <c r="X3" s="444"/>
      <c r="Y3" s="444"/>
      <c r="Z3" s="444"/>
      <c r="AA3" s="444"/>
      <c r="AB3" s="444"/>
      <c r="AC3" s="444"/>
      <c r="AD3" s="444"/>
    </row>
    <row r="4" spans="1:30" ht="25.5" customHeight="1">
      <c r="A4" s="445">
        <v>46264</v>
      </c>
      <c r="B4" s="446" t="s">
        <v>17</v>
      </c>
      <c r="C4" s="446" t="s">
        <v>96</v>
      </c>
      <c r="D4" s="446">
        <v>0</v>
      </c>
      <c r="E4" s="446">
        <v>0</v>
      </c>
      <c r="F4" s="446">
        <v>0</v>
      </c>
      <c r="G4" s="446">
        <v>0</v>
      </c>
      <c r="H4" s="446">
        <v>0</v>
      </c>
      <c r="I4" s="446">
        <v>0</v>
      </c>
      <c r="J4" s="446">
        <v>0</v>
      </c>
      <c r="K4" s="446">
        <v>0</v>
      </c>
      <c r="L4" s="446">
        <v>0</v>
      </c>
      <c r="M4" s="446">
        <v>0</v>
      </c>
      <c r="N4" s="446">
        <v>0</v>
      </c>
      <c r="O4" s="446">
        <v>0</v>
      </c>
      <c r="P4" s="446">
        <v>0</v>
      </c>
      <c r="Q4" s="446">
        <v>0</v>
      </c>
      <c r="R4" s="446">
        <v>0</v>
      </c>
      <c r="S4" s="446">
        <v>0</v>
      </c>
      <c r="T4" s="447">
        <v>0</v>
      </c>
      <c r="U4" s="446">
        <v>0</v>
      </c>
      <c r="V4" s="446"/>
    </row>
    <row r="5" spans="1:30" ht="25.5" customHeight="1">
      <c r="A5" s="445">
        <v>46264</v>
      </c>
      <c r="B5" s="446" t="s">
        <v>17</v>
      </c>
      <c r="C5" s="446" t="s">
        <v>108</v>
      </c>
      <c r="D5" s="446">
        <v>13680</v>
      </c>
      <c r="E5" s="446">
        <v>3</v>
      </c>
      <c r="F5" s="446">
        <v>0</v>
      </c>
      <c r="G5" s="446">
        <v>3</v>
      </c>
      <c r="H5" s="446">
        <v>38</v>
      </c>
      <c r="I5" s="446">
        <v>3</v>
      </c>
      <c r="J5" s="446">
        <v>2</v>
      </c>
      <c r="K5" s="446">
        <v>1</v>
      </c>
      <c r="L5" s="446">
        <v>3</v>
      </c>
      <c r="M5" s="446">
        <v>3</v>
      </c>
      <c r="N5" s="446">
        <v>4</v>
      </c>
      <c r="O5" s="446">
        <v>6</v>
      </c>
      <c r="P5" s="446">
        <v>2.5</v>
      </c>
      <c r="Q5" s="446">
        <v>0</v>
      </c>
      <c r="R5" s="446">
        <v>0</v>
      </c>
      <c r="S5" s="446">
        <v>0</v>
      </c>
      <c r="T5" s="447">
        <v>0</v>
      </c>
      <c r="U5" s="446">
        <v>1150</v>
      </c>
      <c r="V5" s="446"/>
    </row>
    <row r="6" spans="1:30" ht="25.5" customHeight="1">
      <c r="A6" s="445">
        <v>46264</v>
      </c>
      <c r="B6" s="446" t="s">
        <v>17</v>
      </c>
      <c r="C6" s="446" t="s">
        <v>101</v>
      </c>
      <c r="D6" s="446">
        <v>3809</v>
      </c>
      <c r="E6" s="446">
        <v>0</v>
      </c>
      <c r="F6" s="446">
        <v>0</v>
      </c>
      <c r="G6" s="446">
        <v>0</v>
      </c>
      <c r="H6" s="446">
        <v>8.5</v>
      </c>
      <c r="I6" s="446">
        <v>1</v>
      </c>
      <c r="J6" s="446">
        <v>1</v>
      </c>
      <c r="K6" s="446">
        <v>1</v>
      </c>
      <c r="L6" s="446">
        <v>1</v>
      </c>
      <c r="M6" s="446">
        <v>0</v>
      </c>
      <c r="N6" s="446">
        <v>0</v>
      </c>
      <c r="O6" s="446">
        <v>1</v>
      </c>
      <c r="P6" s="446">
        <v>1.5</v>
      </c>
      <c r="Q6" s="446">
        <v>0</v>
      </c>
      <c r="R6" s="446">
        <v>0</v>
      </c>
      <c r="S6" s="446">
        <v>0</v>
      </c>
      <c r="T6" s="447">
        <v>0</v>
      </c>
      <c r="U6" s="446">
        <v>631</v>
      </c>
      <c r="V6" s="446"/>
    </row>
    <row r="7" spans="1:30" ht="25.5" customHeight="1">
      <c r="A7" s="445">
        <v>46264</v>
      </c>
      <c r="B7" s="446" t="s">
        <v>17</v>
      </c>
      <c r="C7" s="446" t="s">
        <v>106</v>
      </c>
      <c r="D7" s="446">
        <v>0</v>
      </c>
      <c r="E7" s="446">
        <v>0</v>
      </c>
      <c r="F7" s="446">
        <v>0</v>
      </c>
      <c r="G7" s="446">
        <v>0</v>
      </c>
      <c r="H7" s="446">
        <v>0</v>
      </c>
      <c r="I7" s="446">
        <v>0</v>
      </c>
      <c r="J7" s="446">
        <v>0</v>
      </c>
      <c r="K7" s="446">
        <v>0</v>
      </c>
      <c r="L7" s="446">
        <v>0</v>
      </c>
      <c r="M7" s="446">
        <v>0</v>
      </c>
      <c r="N7" s="446">
        <v>0</v>
      </c>
      <c r="O7" s="446">
        <v>0</v>
      </c>
      <c r="P7" s="446">
        <v>0</v>
      </c>
      <c r="Q7" s="446">
        <v>0</v>
      </c>
      <c r="R7" s="446">
        <v>0</v>
      </c>
      <c r="S7" s="446">
        <v>0</v>
      </c>
      <c r="T7" s="447">
        <v>0</v>
      </c>
      <c r="U7" s="446">
        <v>0</v>
      </c>
      <c r="V7" s="446"/>
    </row>
    <row r="8" spans="1:30" ht="25.5" customHeight="1">
      <c r="A8" s="445">
        <v>46264</v>
      </c>
      <c r="B8" s="446" t="s">
        <v>22</v>
      </c>
      <c r="C8" s="446" t="s">
        <v>23</v>
      </c>
      <c r="D8" s="446">
        <v>8735</v>
      </c>
      <c r="E8" s="446">
        <v>0</v>
      </c>
      <c r="F8" s="446">
        <v>0</v>
      </c>
      <c r="G8" s="446">
        <v>0</v>
      </c>
      <c r="H8" s="446">
        <v>14.5</v>
      </c>
      <c r="I8" s="446">
        <v>2</v>
      </c>
      <c r="J8" s="446">
        <v>1</v>
      </c>
      <c r="K8" s="446">
        <v>1</v>
      </c>
      <c r="L8" s="446">
        <v>1</v>
      </c>
      <c r="M8" s="446">
        <v>1</v>
      </c>
      <c r="N8" s="446">
        <v>1</v>
      </c>
      <c r="O8" s="446">
        <v>2</v>
      </c>
      <c r="P8" s="446">
        <v>2</v>
      </c>
      <c r="Q8" s="446">
        <v>0</v>
      </c>
      <c r="R8" s="446">
        <v>0</v>
      </c>
      <c r="S8" s="446">
        <v>0</v>
      </c>
      <c r="T8" s="447">
        <v>0</v>
      </c>
      <c r="U8" s="446">
        <v>490</v>
      </c>
      <c r="V8" s="446"/>
    </row>
    <row r="9" spans="1:30" ht="25.5" customHeight="1">
      <c r="A9" s="445">
        <v>46264</v>
      </c>
      <c r="B9" s="446" t="s">
        <v>18</v>
      </c>
      <c r="C9" s="446" t="s">
        <v>97</v>
      </c>
      <c r="D9" s="446">
        <v>0</v>
      </c>
      <c r="E9" s="446">
        <v>0</v>
      </c>
      <c r="F9" s="446">
        <v>0</v>
      </c>
      <c r="G9" s="446">
        <v>0</v>
      </c>
      <c r="H9" s="446">
        <v>0</v>
      </c>
      <c r="I9" s="446">
        <v>0</v>
      </c>
      <c r="J9" s="446">
        <v>0</v>
      </c>
      <c r="K9" s="446">
        <v>0</v>
      </c>
      <c r="L9" s="446">
        <v>0</v>
      </c>
      <c r="M9" s="446">
        <v>0</v>
      </c>
      <c r="N9" s="446">
        <v>0</v>
      </c>
      <c r="O9" s="446">
        <v>0</v>
      </c>
      <c r="P9" s="446">
        <v>0</v>
      </c>
      <c r="Q9" s="446">
        <v>0</v>
      </c>
      <c r="R9" s="446">
        <v>0</v>
      </c>
      <c r="S9" s="446">
        <v>0</v>
      </c>
      <c r="T9" s="447">
        <v>0</v>
      </c>
      <c r="U9" s="446">
        <v>0</v>
      </c>
      <c r="V9" s="446"/>
    </row>
    <row r="10" spans="1:30" ht="25.5" customHeight="1">
      <c r="A10" s="445">
        <v>46264</v>
      </c>
      <c r="B10" s="446" t="s">
        <v>18</v>
      </c>
      <c r="C10" s="446" t="s">
        <v>98</v>
      </c>
      <c r="D10" s="446">
        <v>1600</v>
      </c>
      <c r="E10" s="446">
        <v>0</v>
      </c>
      <c r="F10" s="446">
        <v>0</v>
      </c>
      <c r="G10" s="446">
        <v>0</v>
      </c>
      <c r="H10" s="446">
        <v>7</v>
      </c>
      <c r="I10" s="446">
        <v>2</v>
      </c>
      <c r="J10" s="446">
        <v>2</v>
      </c>
      <c r="K10" s="446">
        <v>0</v>
      </c>
      <c r="L10" s="446">
        <v>0</v>
      </c>
      <c r="M10" s="446">
        <v>0</v>
      </c>
      <c r="N10" s="446">
        <v>0</v>
      </c>
      <c r="O10" s="446">
        <v>0</v>
      </c>
      <c r="P10" s="446">
        <v>0</v>
      </c>
      <c r="Q10" s="446">
        <v>0</v>
      </c>
      <c r="R10" s="446">
        <v>0</v>
      </c>
      <c r="S10" s="446">
        <v>0</v>
      </c>
      <c r="T10" s="447">
        <v>0</v>
      </c>
      <c r="U10" s="446">
        <v>0</v>
      </c>
      <c r="V10" s="446"/>
    </row>
    <row r="11" spans="1:30" ht="25.5" customHeight="1">
      <c r="A11" s="445">
        <v>46264</v>
      </c>
      <c r="B11" s="446" t="s">
        <v>18</v>
      </c>
      <c r="C11" s="446" t="s">
        <v>110</v>
      </c>
      <c r="D11" s="446">
        <v>390</v>
      </c>
      <c r="E11" s="446">
        <v>0</v>
      </c>
      <c r="F11" s="446">
        <v>0</v>
      </c>
      <c r="G11" s="446">
        <v>0</v>
      </c>
      <c r="H11" s="446">
        <v>0</v>
      </c>
      <c r="I11" s="446">
        <v>0</v>
      </c>
      <c r="J11" s="446">
        <v>0</v>
      </c>
      <c r="K11" s="446">
        <v>0</v>
      </c>
      <c r="L11" s="446">
        <v>0</v>
      </c>
      <c r="M11" s="446">
        <v>0</v>
      </c>
      <c r="N11" s="446">
        <v>1</v>
      </c>
      <c r="O11" s="446">
        <v>0</v>
      </c>
      <c r="P11" s="446">
        <v>0</v>
      </c>
      <c r="Q11" s="446">
        <v>0</v>
      </c>
      <c r="R11" s="446">
        <v>0</v>
      </c>
      <c r="S11" s="446">
        <v>0</v>
      </c>
      <c r="T11" s="447">
        <v>0</v>
      </c>
      <c r="U11" s="446">
        <v>200</v>
      </c>
      <c r="V11" s="446"/>
    </row>
    <row r="12" spans="1:30" ht="25.5" customHeight="1">
      <c r="A12" s="445">
        <v>46264</v>
      </c>
      <c r="B12" s="446" t="s">
        <v>19</v>
      </c>
      <c r="C12" s="446" t="s">
        <v>99</v>
      </c>
      <c r="D12" s="446">
        <v>3230</v>
      </c>
      <c r="E12" s="446">
        <v>0</v>
      </c>
      <c r="F12" s="446">
        <v>0</v>
      </c>
      <c r="G12" s="446">
        <v>0</v>
      </c>
      <c r="H12" s="446">
        <v>17.5</v>
      </c>
      <c r="I12" s="446">
        <v>3</v>
      </c>
      <c r="J12" s="446">
        <v>2</v>
      </c>
      <c r="K12" s="446">
        <v>0</v>
      </c>
      <c r="L12" s="446">
        <v>2</v>
      </c>
      <c r="M12" s="446">
        <v>0</v>
      </c>
      <c r="N12" s="446">
        <v>0</v>
      </c>
      <c r="O12" s="446">
        <v>1</v>
      </c>
      <c r="P12" s="446">
        <v>1</v>
      </c>
      <c r="Q12" s="446">
        <v>0</v>
      </c>
      <c r="R12" s="446">
        <v>0</v>
      </c>
      <c r="S12" s="446">
        <v>0</v>
      </c>
      <c r="T12" s="447">
        <v>0</v>
      </c>
      <c r="U12" s="446">
        <v>0</v>
      </c>
      <c r="V12" s="446"/>
    </row>
    <row r="13" spans="1:30" ht="25.5" customHeight="1">
      <c r="A13" s="445">
        <v>46264</v>
      </c>
      <c r="B13" s="446" t="s">
        <v>19</v>
      </c>
      <c r="C13" s="446" t="s">
        <v>88</v>
      </c>
      <c r="D13" s="446">
        <v>0</v>
      </c>
      <c r="E13" s="446">
        <v>0</v>
      </c>
      <c r="F13" s="446">
        <v>0</v>
      </c>
      <c r="G13" s="446">
        <v>0</v>
      </c>
      <c r="H13" s="446">
        <v>0</v>
      </c>
      <c r="I13" s="446">
        <v>0</v>
      </c>
      <c r="J13" s="446">
        <v>0</v>
      </c>
      <c r="K13" s="446">
        <v>0</v>
      </c>
      <c r="L13" s="446">
        <v>0</v>
      </c>
      <c r="M13" s="446">
        <v>0</v>
      </c>
      <c r="N13" s="446">
        <v>0</v>
      </c>
      <c r="O13" s="446">
        <v>0</v>
      </c>
      <c r="P13" s="446">
        <v>0</v>
      </c>
      <c r="Q13" s="446">
        <v>0</v>
      </c>
      <c r="R13" s="446">
        <v>0</v>
      </c>
      <c r="S13" s="446">
        <v>0</v>
      </c>
      <c r="T13" s="447">
        <v>0</v>
      </c>
      <c r="U13" s="446">
        <v>0</v>
      </c>
      <c r="V13" s="446"/>
      <c r="AD13" s="448"/>
    </row>
    <row r="14" spans="1:30" ht="25.5" customHeight="1">
      <c r="A14" s="445">
        <v>46264</v>
      </c>
      <c r="B14" s="446" t="s">
        <v>19</v>
      </c>
      <c r="C14" s="446" t="s">
        <v>107</v>
      </c>
      <c r="D14" s="446">
        <v>0</v>
      </c>
      <c r="E14" s="446">
        <v>0</v>
      </c>
      <c r="F14" s="446">
        <v>0</v>
      </c>
      <c r="G14" s="446">
        <v>0</v>
      </c>
      <c r="H14" s="446">
        <v>0</v>
      </c>
      <c r="I14" s="446">
        <v>0</v>
      </c>
      <c r="J14" s="446">
        <v>0</v>
      </c>
      <c r="K14" s="446">
        <v>0</v>
      </c>
      <c r="L14" s="446">
        <v>0</v>
      </c>
      <c r="M14" s="446">
        <v>0</v>
      </c>
      <c r="N14" s="446">
        <v>0</v>
      </c>
      <c r="O14" s="446">
        <v>0</v>
      </c>
      <c r="P14" s="446">
        <v>0</v>
      </c>
      <c r="Q14" s="446">
        <v>0</v>
      </c>
      <c r="R14" s="446">
        <v>0</v>
      </c>
      <c r="S14" s="446">
        <v>0</v>
      </c>
      <c r="T14" s="447">
        <v>0</v>
      </c>
      <c r="U14" s="446">
        <v>0</v>
      </c>
      <c r="V14" s="446"/>
    </row>
    <row r="15" spans="1:30" ht="25.5" customHeight="1">
      <c r="A15" s="445">
        <v>46264</v>
      </c>
      <c r="B15" s="446" t="s">
        <v>20</v>
      </c>
      <c r="C15" s="446" t="s">
        <v>93</v>
      </c>
      <c r="D15" s="446">
        <v>0</v>
      </c>
      <c r="E15" s="446">
        <v>0</v>
      </c>
      <c r="F15" s="446">
        <v>0</v>
      </c>
      <c r="G15" s="446">
        <v>0</v>
      </c>
      <c r="H15" s="446">
        <v>0</v>
      </c>
      <c r="I15" s="446">
        <v>0</v>
      </c>
      <c r="J15" s="446">
        <v>0</v>
      </c>
      <c r="K15" s="446">
        <v>0</v>
      </c>
      <c r="L15" s="446">
        <v>0</v>
      </c>
      <c r="M15" s="446">
        <v>0</v>
      </c>
      <c r="N15" s="446">
        <v>0</v>
      </c>
      <c r="O15" s="446">
        <v>0</v>
      </c>
      <c r="P15" s="446">
        <v>0</v>
      </c>
      <c r="Q15" s="446">
        <v>0</v>
      </c>
      <c r="R15" s="446">
        <v>0</v>
      </c>
      <c r="S15" s="446">
        <v>0</v>
      </c>
      <c r="T15" s="447">
        <v>0</v>
      </c>
      <c r="U15" s="446">
        <v>0</v>
      </c>
      <c r="V15" s="446"/>
    </row>
    <row r="16" spans="1:30" ht="25.5" customHeight="1">
      <c r="A16" s="445">
        <v>46264</v>
      </c>
      <c r="B16" s="446" t="s">
        <v>20</v>
      </c>
      <c r="C16" s="446" t="s">
        <v>105</v>
      </c>
      <c r="D16" s="446">
        <v>3930</v>
      </c>
      <c r="E16" s="446">
        <v>1.5</v>
      </c>
      <c r="F16" s="446">
        <v>0</v>
      </c>
      <c r="G16" s="446">
        <v>0</v>
      </c>
      <c r="H16" s="446">
        <v>4.5</v>
      </c>
      <c r="I16" s="446">
        <v>0</v>
      </c>
      <c r="J16" s="446">
        <v>0</v>
      </c>
      <c r="K16" s="446">
        <v>0</v>
      </c>
      <c r="L16" s="446">
        <v>1</v>
      </c>
      <c r="M16" s="446">
        <v>0</v>
      </c>
      <c r="N16" s="446">
        <v>0</v>
      </c>
      <c r="O16" s="446">
        <v>2</v>
      </c>
      <c r="P16" s="446">
        <v>1</v>
      </c>
      <c r="Q16" s="446">
        <v>0</v>
      </c>
      <c r="R16" s="446">
        <v>0</v>
      </c>
      <c r="S16" s="446">
        <v>0</v>
      </c>
      <c r="T16" s="447">
        <v>0</v>
      </c>
      <c r="U16" s="446">
        <v>0</v>
      </c>
      <c r="V16" s="446"/>
    </row>
    <row r="17" spans="1:22" ht="25.5" customHeight="1">
      <c r="A17" s="445">
        <v>46264</v>
      </c>
      <c r="B17" s="446" t="s">
        <v>20</v>
      </c>
      <c r="C17" s="446" t="s">
        <v>102</v>
      </c>
      <c r="D17" s="446">
        <v>0</v>
      </c>
      <c r="E17" s="446">
        <v>0</v>
      </c>
      <c r="F17" s="446">
        <v>0</v>
      </c>
      <c r="G17" s="446">
        <v>0</v>
      </c>
      <c r="H17" s="446">
        <v>0</v>
      </c>
      <c r="I17" s="446">
        <v>0</v>
      </c>
      <c r="J17" s="446">
        <v>0</v>
      </c>
      <c r="K17" s="446">
        <v>0</v>
      </c>
      <c r="L17" s="446">
        <v>0</v>
      </c>
      <c r="M17" s="446">
        <v>0</v>
      </c>
      <c r="N17" s="446">
        <v>0</v>
      </c>
      <c r="O17" s="446">
        <v>0</v>
      </c>
      <c r="P17" s="446">
        <v>0</v>
      </c>
      <c r="Q17" s="446">
        <v>0</v>
      </c>
      <c r="R17" s="446">
        <v>0</v>
      </c>
      <c r="S17" s="446">
        <v>0</v>
      </c>
      <c r="T17" s="447">
        <v>0</v>
      </c>
      <c r="U17" s="446">
        <v>0</v>
      </c>
      <c r="V17" s="446"/>
    </row>
    <row r="18" spans="1:22" ht="25.5" customHeight="1">
      <c r="A18" s="445">
        <v>46264</v>
      </c>
      <c r="B18" s="446" t="s">
        <v>20</v>
      </c>
      <c r="C18" s="446" t="s">
        <v>111</v>
      </c>
      <c r="D18" s="446">
        <v>4690</v>
      </c>
      <c r="E18" s="446">
        <v>1.5</v>
      </c>
      <c r="F18" s="446">
        <v>0</v>
      </c>
      <c r="G18" s="446">
        <v>0</v>
      </c>
      <c r="H18" s="446">
        <v>13</v>
      </c>
      <c r="I18" s="446">
        <v>2</v>
      </c>
      <c r="J18" s="446">
        <v>0</v>
      </c>
      <c r="K18" s="446">
        <v>1</v>
      </c>
      <c r="L18" s="446">
        <v>1</v>
      </c>
      <c r="M18" s="446">
        <v>1</v>
      </c>
      <c r="N18" s="446">
        <v>0</v>
      </c>
      <c r="O18" s="446">
        <v>2</v>
      </c>
      <c r="P18" s="446">
        <v>1</v>
      </c>
      <c r="Q18" s="446">
        <v>0</v>
      </c>
      <c r="R18" s="446">
        <v>0</v>
      </c>
      <c r="S18" s="446">
        <v>0</v>
      </c>
      <c r="T18" s="447">
        <v>100</v>
      </c>
      <c r="U18" s="446">
        <v>0</v>
      </c>
      <c r="V18" s="446"/>
    </row>
    <row r="19" spans="1:22" ht="25.5" customHeight="1">
      <c r="A19" s="445">
        <v>46264</v>
      </c>
      <c r="B19" s="446" t="s">
        <v>21</v>
      </c>
      <c r="C19" s="446" t="s">
        <v>90</v>
      </c>
      <c r="D19" s="446">
        <v>2150</v>
      </c>
      <c r="E19" s="446">
        <v>0</v>
      </c>
      <c r="F19" s="446">
        <v>0</v>
      </c>
      <c r="G19" s="446">
        <v>0</v>
      </c>
      <c r="H19" s="446">
        <v>2.25</v>
      </c>
      <c r="I19" s="446">
        <v>1</v>
      </c>
      <c r="J19" s="446">
        <v>0</v>
      </c>
      <c r="K19" s="446">
        <v>0</v>
      </c>
      <c r="L19" s="446">
        <v>0</v>
      </c>
      <c r="M19" s="446">
        <v>0</v>
      </c>
      <c r="N19" s="446">
        <v>0</v>
      </c>
      <c r="O19" s="446">
        <v>1</v>
      </c>
      <c r="P19" s="446">
        <v>0</v>
      </c>
      <c r="Q19" s="446">
        <v>0</v>
      </c>
      <c r="R19" s="446">
        <v>0</v>
      </c>
      <c r="S19" s="446">
        <v>0</v>
      </c>
      <c r="T19" s="447">
        <v>0</v>
      </c>
      <c r="U19" s="446">
        <v>0</v>
      </c>
      <c r="V19" s="446"/>
    </row>
    <row r="20" spans="1:22" ht="25.5" customHeight="1">
      <c r="A20" s="445">
        <v>46264</v>
      </c>
      <c r="B20" s="446" t="s">
        <v>21</v>
      </c>
      <c r="C20" s="446" t="s">
        <v>109</v>
      </c>
      <c r="D20" s="446">
        <v>400</v>
      </c>
      <c r="E20" s="446">
        <v>2.5</v>
      </c>
      <c r="F20" s="446">
        <v>0</v>
      </c>
      <c r="G20" s="446">
        <v>2.5</v>
      </c>
      <c r="H20" s="446">
        <v>0</v>
      </c>
      <c r="I20" s="446">
        <v>0</v>
      </c>
      <c r="J20" s="446">
        <v>0</v>
      </c>
      <c r="K20" s="446">
        <v>0</v>
      </c>
      <c r="L20" s="446">
        <v>0</v>
      </c>
      <c r="M20" s="446">
        <v>0</v>
      </c>
      <c r="N20" s="446">
        <v>0</v>
      </c>
      <c r="O20" s="446">
        <v>1</v>
      </c>
      <c r="P20" s="446">
        <v>0</v>
      </c>
      <c r="Q20" s="446">
        <v>0</v>
      </c>
      <c r="R20" s="446">
        <v>0</v>
      </c>
      <c r="S20" s="446">
        <v>0</v>
      </c>
      <c r="T20" s="447">
        <v>0</v>
      </c>
      <c r="U20" s="446">
        <v>0</v>
      </c>
      <c r="V20" s="446"/>
    </row>
    <row r="21" spans="1:22" ht="25.5" customHeight="1">
      <c r="A21" s="445">
        <v>46264</v>
      </c>
      <c r="B21" s="446" t="s">
        <v>21</v>
      </c>
      <c r="C21" s="446" t="s">
        <v>103</v>
      </c>
      <c r="D21" s="446">
        <v>4400</v>
      </c>
      <c r="E21" s="446">
        <v>0</v>
      </c>
      <c r="F21" s="446">
        <v>0</v>
      </c>
      <c r="G21" s="446">
        <v>0</v>
      </c>
      <c r="H21" s="446">
        <v>15</v>
      </c>
      <c r="I21" s="446">
        <v>2</v>
      </c>
      <c r="J21" s="446">
        <v>1</v>
      </c>
      <c r="K21" s="446">
        <v>0</v>
      </c>
      <c r="L21" s="446">
        <v>2</v>
      </c>
      <c r="M21" s="446">
        <v>0</v>
      </c>
      <c r="N21" s="446">
        <v>0</v>
      </c>
      <c r="O21" s="446">
        <v>2</v>
      </c>
      <c r="P21" s="446">
        <v>0</v>
      </c>
      <c r="Q21" s="446">
        <v>0</v>
      </c>
      <c r="R21" s="446">
        <v>0</v>
      </c>
      <c r="S21" s="446">
        <v>0</v>
      </c>
      <c r="T21" s="447">
        <v>0</v>
      </c>
      <c r="U21" s="446">
        <v>0</v>
      </c>
      <c r="V21" s="446"/>
    </row>
    <row r="22" spans="1:22" ht="25.5" customHeight="1">
      <c r="A22" s="445">
        <v>46264</v>
      </c>
      <c r="B22" s="446" t="s">
        <v>21</v>
      </c>
      <c r="C22" s="446" t="s">
        <v>112</v>
      </c>
      <c r="D22" s="446">
        <v>984</v>
      </c>
      <c r="E22" s="446">
        <v>0</v>
      </c>
      <c r="F22" s="446">
        <v>0</v>
      </c>
      <c r="G22" s="446">
        <v>0</v>
      </c>
      <c r="H22" s="446">
        <v>0</v>
      </c>
      <c r="I22" s="446">
        <v>0</v>
      </c>
      <c r="J22" s="446">
        <v>0</v>
      </c>
      <c r="K22" s="446">
        <v>0</v>
      </c>
      <c r="L22" s="446">
        <v>0</v>
      </c>
      <c r="M22" s="446">
        <v>0</v>
      </c>
      <c r="N22" s="446">
        <v>0</v>
      </c>
      <c r="O22" s="446">
        <v>0</v>
      </c>
      <c r="P22" s="446">
        <v>1</v>
      </c>
      <c r="Q22" s="446">
        <v>0</v>
      </c>
      <c r="R22" s="446">
        <v>0</v>
      </c>
      <c r="S22" s="446">
        <v>0</v>
      </c>
      <c r="T22" s="447">
        <v>0</v>
      </c>
      <c r="U22" s="446">
        <v>616</v>
      </c>
      <c r="V22" s="446"/>
    </row>
    <row r="23" spans="1:22" ht="25.5" customHeight="1">
      <c r="A23" s="445">
        <v>46265</v>
      </c>
      <c r="B23" s="446" t="s">
        <v>17</v>
      </c>
      <c r="C23" s="446" t="s">
        <v>96</v>
      </c>
      <c r="D23" s="446">
        <v>0</v>
      </c>
      <c r="E23" s="446">
        <v>0</v>
      </c>
      <c r="F23" s="446">
        <v>0</v>
      </c>
      <c r="G23" s="446">
        <v>0</v>
      </c>
      <c r="H23" s="446">
        <v>0</v>
      </c>
      <c r="I23" s="446">
        <v>0</v>
      </c>
      <c r="J23" s="446">
        <v>0</v>
      </c>
      <c r="K23" s="446">
        <v>0</v>
      </c>
      <c r="L23" s="446">
        <v>0</v>
      </c>
      <c r="M23" s="446">
        <v>0</v>
      </c>
      <c r="N23" s="446">
        <v>0</v>
      </c>
      <c r="O23" s="446">
        <v>0</v>
      </c>
      <c r="P23" s="446">
        <v>0</v>
      </c>
      <c r="Q23" s="446">
        <v>0</v>
      </c>
      <c r="R23" s="446">
        <v>0</v>
      </c>
      <c r="S23" s="446">
        <v>0</v>
      </c>
      <c r="T23" s="447">
        <v>0</v>
      </c>
      <c r="U23" s="446">
        <v>0</v>
      </c>
      <c r="V23" s="446"/>
    </row>
    <row r="24" spans="1:22" ht="25.5" customHeight="1">
      <c r="A24" s="445">
        <v>46265</v>
      </c>
      <c r="B24" s="446" t="s">
        <v>17</v>
      </c>
      <c r="C24" s="446" t="s">
        <v>108</v>
      </c>
      <c r="D24" s="446">
        <v>3318</v>
      </c>
      <c r="E24" s="446">
        <v>6.5</v>
      </c>
      <c r="F24" s="446">
        <v>1</v>
      </c>
      <c r="G24" s="446">
        <v>6.5</v>
      </c>
      <c r="H24" s="446">
        <v>0</v>
      </c>
      <c r="I24" s="446">
        <v>0</v>
      </c>
      <c r="J24" s="446">
        <v>0</v>
      </c>
      <c r="K24" s="446">
        <v>0</v>
      </c>
      <c r="L24" s="446">
        <v>0</v>
      </c>
      <c r="M24" s="446">
        <v>0</v>
      </c>
      <c r="N24" s="446">
        <v>2</v>
      </c>
      <c r="O24" s="446">
        <v>1</v>
      </c>
      <c r="P24" s="446">
        <v>0</v>
      </c>
      <c r="Q24" s="446">
        <v>0</v>
      </c>
      <c r="R24" s="446">
        <v>0</v>
      </c>
      <c r="S24" s="446">
        <v>0</v>
      </c>
      <c r="T24" s="447">
        <v>0</v>
      </c>
      <c r="U24" s="446">
        <v>0</v>
      </c>
      <c r="V24" s="446"/>
    </row>
    <row r="25" spans="1:22" ht="25.5" customHeight="1">
      <c r="A25" s="445">
        <v>46265</v>
      </c>
      <c r="B25" s="446" t="s">
        <v>17</v>
      </c>
      <c r="C25" s="446" t="s">
        <v>101</v>
      </c>
      <c r="D25" s="446">
        <v>0</v>
      </c>
      <c r="E25" s="446">
        <v>0</v>
      </c>
      <c r="F25" s="446">
        <v>0</v>
      </c>
      <c r="G25" s="446">
        <v>0</v>
      </c>
      <c r="H25" s="446">
        <v>0</v>
      </c>
      <c r="I25" s="446">
        <v>0</v>
      </c>
      <c r="J25" s="446">
        <v>0</v>
      </c>
      <c r="K25" s="446">
        <v>0</v>
      </c>
      <c r="L25" s="446">
        <v>0</v>
      </c>
      <c r="M25" s="446">
        <v>0</v>
      </c>
      <c r="N25" s="446">
        <v>0</v>
      </c>
      <c r="O25" s="446">
        <v>0</v>
      </c>
      <c r="P25" s="446">
        <v>0</v>
      </c>
      <c r="Q25" s="446">
        <v>0</v>
      </c>
      <c r="R25" s="446">
        <v>0</v>
      </c>
      <c r="S25" s="446">
        <v>0</v>
      </c>
      <c r="T25" s="447">
        <v>0</v>
      </c>
      <c r="U25" s="446">
        <v>0</v>
      </c>
      <c r="V25" s="446"/>
    </row>
    <row r="26" spans="1:22" ht="25.5" customHeight="1">
      <c r="A26" s="445">
        <v>46265</v>
      </c>
      <c r="B26" s="446" t="s">
        <v>17</v>
      </c>
      <c r="C26" s="446" t="s">
        <v>106</v>
      </c>
      <c r="D26" s="446">
        <v>2965</v>
      </c>
      <c r="E26" s="446">
        <v>6.5</v>
      </c>
      <c r="F26" s="446">
        <v>1</v>
      </c>
      <c r="G26" s="446">
        <v>6.5</v>
      </c>
      <c r="H26" s="446">
        <v>0</v>
      </c>
      <c r="I26" s="446">
        <v>0</v>
      </c>
      <c r="J26" s="446">
        <v>0</v>
      </c>
      <c r="K26" s="446">
        <v>0</v>
      </c>
      <c r="L26" s="446">
        <v>0</v>
      </c>
      <c r="M26" s="446">
        <v>0</v>
      </c>
      <c r="N26" s="446">
        <v>1</v>
      </c>
      <c r="O26" s="446">
        <v>1</v>
      </c>
      <c r="P26" s="446">
        <v>0</v>
      </c>
      <c r="Q26" s="446">
        <v>0</v>
      </c>
      <c r="R26" s="446">
        <v>0</v>
      </c>
      <c r="S26" s="446">
        <v>0</v>
      </c>
      <c r="T26" s="447">
        <v>0</v>
      </c>
      <c r="U26" s="446">
        <v>455</v>
      </c>
      <c r="V26" s="446"/>
    </row>
    <row r="27" spans="1:22" ht="25.5" customHeight="1">
      <c r="A27" s="445">
        <v>46265</v>
      </c>
      <c r="B27" s="446" t="s">
        <v>22</v>
      </c>
      <c r="C27" s="446" t="s">
        <v>23</v>
      </c>
      <c r="D27" s="446">
        <v>2385</v>
      </c>
      <c r="E27" s="446">
        <v>0</v>
      </c>
      <c r="F27" s="446">
        <v>0</v>
      </c>
      <c r="G27" s="446">
        <v>0</v>
      </c>
      <c r="H27" s="446">
        <v>8.75</v>
      </c>
      <c r="I27" s="446">
        <v>3</v>
      </c>
      <c r="J27" s="446">
        <v>1</v>
      </c>
      <c r="K27" s="446">
        <v>3</v>
      </c>
      <c r="L27" s="446">
        <v>0</v>
      </c>
      <c r="M27" s="446">
        <v>0</v>
      </c>
      <c r="N27" s="446">
        <v>0</v>
      </c>
      <c r="O27" s="446">
        <v>1</v>
      </c>
      <c r="P27" s="446">
        <v>1</v>
      </c>
      <c r="Q27" s="446">
        <v>0</v>
      </c>
      <c r="R27" s="446">
        <v>0</v>
      </c>
      <c r="S27" s="446">
        <v>0</v>
      </c>
      <c r="T27" s="447">
        <v>0</v>
      </c>
      <c r="U27" s="446">
        <v>455</v>
      </c>
      <c r="V27" s="446"/>
    </row>
    <row r="28" spans="1:22" ht="25.5" customHeight="1">
      <c r="A28" s="445">
        <v>46265</v>
      </c>
      <c r="B28" s="446" t="s">
        <v>18</v>
      </c>
      <c r="C28" s="446" t="s">
        <v>97</v>
      </c>
      <c r="D28" s="446">
        <v>9388</v>
      </c>
      <c r="E28" s="446">
        <v>0</v>
      </c>
      <c r="F28" s="446">
        <v>0</v>
      </c>
      <c r="G28" s="446">
        <v>0</v>
      </c>
      <c r="H28" s="446">
        <v>17</v>
      </c>
      <c r="I28" s="446">
        <v>2</v>
      </c>
      <c r="J28" s="446">
        <v>0</v>
      </c>
      <c r="K28" s="446">
        <v>0</v>
      </c>
      <c r="L28" s="446">
        <v>2</v>
      </c>
      <c r="M28" s="446">
        <v>2</v>
      </c>
      <c r="N28" s="446">
        <v>0</v>
      </c>
      <c r="O28" s="446">
        <v>2</v>
      </c>
      <c r="P28" s="446">
        <v>1</v>
      </c>
      <c r="Q28" s="446">
        <v>0</v>
      </c>
      <c r="R28" s="446">
        <v>0</v>
      </c>
      <c r="S28" s="446">
        <v>0</v>
      </c>
      <c r="T28" s="447">
        <v>0</v>
      </c>
      <c r="U28" s="446">
        <v>458.8</v>
      </c>
      <c r="V28" s="446"/>
    </row>
    <row r="29" spans="1:22" ht="25.5" customHeight="1">
      <c r="A29" s="445">
        <v>46265</v>
      </c>
      <c r="B29" s="446" t="s">
        <v>18</v>
      </c>
      <c r="C29" s="446" t="s">
        <v>98</v>
      </c>
      <c r="D29" s="446">
        <v>3164</v>
      </c>
      <c r="E29" s="446">
        <v>6.5</v>
      </c>
      <c r="F29" s="446">
        <v>1</v>
      </c>
      <c r="G29" s="446">
        <v>6.5</v>
      </c>
      <c r="H29" s="446">
        <v>2.75</v>
      </c>
      <c r="I29" s="446">
        <v>1</v>
      </c>
      <c r="J29" s="446">
        <v>0</v>
      </c>
      <c r="K29" s="446">
        <v>0</v>
      </c>
      <c r="L29" s="446">
        <v>0</v>
      </c>
      <c r="M29" s="446">
        <v>0</v>
      </c>
      <c r="N29" s="446">
        <v>2</v>
      </c>
      <c r="O29" s="446">
        <v>2</v>
      </c>
      <c r="P29" s="446">
        <v>1</v>
      </c>
      <c r="Q29" s="446">
        <v>0</v>
      </c>
      <c r="R29" s="446">
        <v>0</v>
      </c>
      <c r="S29" s="446">
        <v>0</v>
      </c>
      <c r="T29" s="447">
        <v>0</v>
      </c>
      <c r="U29" s="446">
        <v>0</v>
      </c>
      <c r="V29" s="446"/>
    </row>
    <row r="30" spans="1:22" ht="25.5" customHeight="1">
      <c r="A30" s="445">
        <v>46265</v>
      </c>
      <c r="B30" s="446" t="s">
        <v>18</v>
      </c>
      <c r="C30" s="446" t="s">
        <v>110</v>
      </c>
      <c r="D30" s="446">
        <v>4190</v>
      </c>
      <c r="E30" s="446">
        <v>0</v>
      </c>
      <c r="F30" s="446">
        <v>0</v>
      </c>
      <c r="G30" s="446">
        <v>0</v>
      </c>
      <c r="H30" s="446">
        <v>14.5</v>
      </c>
      <c r="I30" s="446">
        <v>1</v>
      </c>
      <c r="J30" s="446">
        <v>1</v>
      </c>
      <c r="K30" s="446">
        <v>0</v>
      </c>
      <c r="L30" s="446">
        <v>1</v>
      </c>
      <c r="M30" s="446">
        <v>1</v>
      </c>
      <c r="N30" s="446">
        <v>1</v>
      </c>
      <c r="O30" s="446">
        <v>1</v>
      </c>
      <c r="P30" s="446">
        <v>1.5</v>
      </c>
      <c r="Q30" s="446">
        <v>0</v>
      </c>
      <c r="R30" s="446">
        <v>0</v>
      </c>
      <c r="S30" s="446">
        <v>0</v>
      </c>
      <c r="T30" s="447">
        <v>0</v>
      </c>
      <c r="U30" s="446">
        <v>150</v>
      </c>
      <c r="V30" s="446"/>
    </row>
    <row r="31" spans="1:22" ht="25.5" customHeight="1">
      <c r="A31" s="445">
        <v>46265</v>
      </c>
      <c r="B31" s="446" t="s">
        <v>19</v>
      </c>
      <c r="C31" s="446" t="s">
        <v>99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6">
        <v>0</v>
      </c>
      <c r="Q31" s="446">
        <v>0</v>
      </c>
      <c r="R31" s="446">
        <v>0</v>
      </c>
      <c r="S31" s="446">
        <v>0</v>
      </c>
      <c r="T31" s="447">
        <v>0</v>
      </c>
      <c r="U31" s="446">
        <v>0</v>
      </c>
      <c r="V31" s="446"/>
    </row>
    <row r="32" spans="1:22" ht="25.5" customHeight="1">
      <c r="A32" s="445">
        <v>46265</v>
      </c>
      <c r="B32" s="446" t="s">
        <v>19</v>
      </c>
      <c r="C32" s="446" t="s">
        <v>88</v>
      </c>
      <c r="D32" s="446">
        <v>3570</v>
      </c>
      <c r="E32" s="446">
        <v>0</v>
      </c>
      <c r="F32" s="446">
        <v>0</v>
      </c>
      <c r="G32" s="446">
        <v>0</v>
      </c>
      <c r="H32" s="446">
        <v>10</v>
      </c>
      <c r="I32" s="446">
        <v>1</v>
      </c>
      <c r="J32" s="446">
        <v>1</v>
      </c>
      <c r="K32" s="446">
        <v>0</v>
      </c>
      <c r="L32" s="446">
        <v>1</v>
      </c>
      <c r="M32" s="446">
        <v>0</v>
      </c>
      <c r="N32" s="446">
        <v>0</v>
      </c>
      <c r="O32" s="446">
        <v>1</v>
      </c>
      <c r="P32" s="446">
        <v>1</v>
      </c>
      <c r="Q32" s="446">
        <v>0</v>
      </c>
      <c r="R32" s="446">
        <v>0</v>
      </c>
      <c r="S32" s="446">
        <v>0</v>
      </c>
      <c r="T32" s="447">
        <v>0</v>
      </c>
      <c r="U32" s="446">
        <v>520</v>
      </c>
      <c r="V32" s="446"/>
    </row>
    <row r="33" spans="1:22" ht="25.5" customHeight="1">
      <c r="A33" s="445">
        <v>46265</v>
      </c>
      <c r="B33" s="446" t="s">
        <v>19</v>
      </c>
      <c r="C33" s="446" t="s">
        <v>107</v>
      </c>
      <c r="D33" s="446">
        <v>0</v>
      </c>
      <c r="E33" s="446">
        <v>0</v>
      </c>
      <c r="F33" s="446">
        <v>0</v>
      </c>
      <c r="G33" s="446">
        <v>0</v>
      </c>
      <c r="H33" s="446">
        <v>0</v>
      </c>
      <c r="I33" s="446">
        <v>0</v>
      </c>
      <c r="J33" s="446">
        <v>0</v>
      </c>
      <c r="K33" s="446">
        <v>0</v>
      </c>
      <c r="L33" s="446">
        <v>0</v>
      </c>
      <c r="M33" s="446">
        <v>0</v>
      </c>
      <c r="N33" s="446">
        <v>0</v>
      </c>
      <c r="O33" s="446">
        <v>0</v>
      </c>
      <c r="P33" s="446">
        <v>0</v>
      </c>
      <c r="Q33" s="446">
        <v>0</v>
      </c>
      <c r="R33" s="446">
        <v>0</v>
      </c>
      <c r="S33" s="446">
        <v>0</v>
      </c>
      <c r="T33" s="447">
        <v>0</v>
      </c>
      <c r="U33" s="446">
        <v>0</v>
      </c>
      <c r="V33" s="446"/>
    </row>
    <row r="34" spans="1:22" ht="25.5" customHeight="1">
      <c r="A34" s="445">
        <v>46265</v>
      </c>
      <c r="B34" s="446" t="s">
        <v>20</v>
      </c>
      <c r="C34" s="446" t="s">
        <v>93</v>
      </c>
      <c r="D34" s="446">
        <v>4914.2</v>
      </c>
      <c r="E34" s="446">
        <v>0</v>
      </c>
      <c r="F34" s="446">
        <v>0</v>
      </c>
      <c r="G34" s="446">
        <v>0</v>
      </c>
      <c r="H34" s="446">
        <v>17</v>
      </c>
      <c r="I34" s="446">
        <v>3</v>
      </c>
      <c r="J34" s="446">
        <v>3</v>
      </c>
      <c r="K34" s="446">
        <v>1</v>
      </c>
      <c r="L34" s="446">
        <v>1</v>
      </c>
      <c r="M34" s="446">
        <v>0</v>
      </c>
      <c r="N34" s="446">
        <v>0</v>
      </c>
      <c r="O34" s="446">
        <v>3</v>
      </c>
      <c r="P34" s="446">
        <v>1</v>
      </c>
      <c r="Q34" s="446">
        <v>0</v>
      </c>
      <c r="R34" s="446">
        <v>0</v>
      </c>
      <c r="S34" s="446">
        <v>0</v>
      </c>
      <c r="T34" s="447">
        <v>0</v>
      </c>
      <c r="U34" s="446">
        <v>0</v>
      </c>
      <c r="V34" s="446"/>
    </row>
    <row r="35" spans="1:22" ht="25.5" customHeight="1">
      <c r="A35" s="445">
        <v>46265</v>
      </c>
      <c r="B35" s="446" t="s">
        <v>20</v>
      </c>
      <c r="C35" s="446" t="s">
        <v>105</v>
      </c>
      <c r="D35" s="446">
        <v>0</v>
      </c>
      <c r="E35" s="446">
        <v>0</v>
      </c>
      <c r="F35" s="446">
        <v>0</v>
      </c>
      <c r="G35" s="446">
        <v>0</v>
      </c>
      <c r="H35" s="446">
        <v>0</v>
      </c>
      <c r="I35" s="446">
        <v>0</v>
      </c>
      <c r="J35" s="446">
        <v>0</v>
      </c>
      <c r="K35" s="446">
        <v>0</v>
      </c>
      <c r="L35" s="446">
        <v>0</v>
      </c>
      <c r="M35" s="446">
        <v>0</v>
      </c>
      <c r="N35" s="446">
        <v>0</v>
      </c>
      <c r="O35" s="446">
        <v>0</v>
      </c>
      <c r="P35" s="446">
        <v>0</v>
      </c>
      <c r="Q35" s="446">
        <v>0</v>
      </c>
      <c r="R35" s="446">
        <v>0</v>
      </c>
      <c r="S35" s="446">
        <v>0</v>
      </c>
      <c r="T35" s="447">
        <v>0</v>
      </c>
      <c r="U35" s="446">
        <v>0</v>
      </c>
      <c r="V35" s="446"/>
    </row>
    <row r="36" spans="1:22" ht="25.5" customHeight="1">
      <c r="A36" s="445">
        <v>46265</v>
      </c>
      <c r="B36" s="446" t="s">
        <v>20</v>
      </c>
      <c r="C36" s="446" t="s">
        <v>102</v>
      </c>
      <c r="D36" s="446">
        <v>0</v>
      </c>
      <c r="E36" s="446">
        <v>0</v>
      </c>
      <c r="F36" s="446">
        <v>0</v>
      </c>
      <c r="G36" s="446">
        <v>0</v>
      </c>
      <c r="H36" s="446">
        <v>0</v>
      </c>
      <c r="I36" s="446">
        <v>0</v>
      </c>
      <c r="J36" s="446">
        <v>0</v>
      </c>
      <c r="K36" s="446">
        <v>0</v>
      </c>
      <c r="L36" s="446">
        <v>0</v>
      </c>
      <c r="M36" s="446">
        <v>0</v>
      </c>
      <c r="N36" s="446">
        <v>0</v>
      </c>
      <c r="O36" s="446">
        <v>0</v>
      </c>
      <c r="P36" s="446">
        <v>0</v>
      </c>
      <c r="Q36" s="446">
        <v>0</v>
      </c>
      <c r="R36" s="446">
        <v>0</v>
      </c>
      <c r="S36" s="446">
        <v>0</v>
      </c>
      <c r="T36" s="447">
        <v>0</v>
      </c>
      <c r="U36" s="446">
        <v>0</v>
      </c>
      <c r="V36" s="446"/>
    </row>
    <row r="37" spans="1:22" ht="25.5" customHeight="1">
      <c r="A37" s="445">
        <v>46265</v>
      </c>
      <c r="B37" s="446" t="s">
        <v>20</v>
      </c>
      <c r="C37" s="446" t="s">
        <v>111</v>
      </c>
      <c r="D37" s="446">
        <v>2260</v>
      </c>
      <c r="E37" s="446">
        <v>0</v>
      </c>
      <c r="F37" s="446">
        <v>0</v>
      </c>
      <c r="G37" s="446">
        <v>0</v>
      </c>
      <c r="H37" s="446">
        <v>3.5</v>
      </c>
      <c r="I37" s="446">
        <v>1</v>
      </c>
      <c r="J37" s="446">
        <v>0</v>
      </c>
      <c r="K37" s="446">
        <v>1</v>
      </c>
      <c r="L37" s="446">
        <v>0</v>
      </c>
      <c r="M37" s="446">
        <v>0</v>
      </c>
      <c r="N37" s="446">
        <v>0</v>
      </c>
      <c r="O37" s="446">
        <v>1</v>
      </c>
      <c r="P37" s="446">
        <v>0</v>
      </c>
      <c r="Q37" s="446">
        <v>0</v>
      </c>
      <c r="R37" s="446">
        <v>0</v>
      </c>
      <c r="S37" s="446">
        <v>0</v>
      </c>
      <c r="T37" s="447">
        <v>0</v>
      </c>
      <c r="U37" s="446">
        <v>0</v>
      </c>
      <c r="V37" s="446"/>
    </row>
    <row r="38" spans="1:22" ht="25.5" customHeight="1">
      <c r="A38" s="445">
        <v>46265</v>
      </c>
      <c r="B38" s="446" t="s">
        <v>21</v>
      </c>
      <c r="C38" s="446" t="s">
        <v>90</v>
      </c>
      <c r="D38" s="446">
        <v>0</v>
      </c>
      <c r="E38" s="446">
        <v>0</v>
      </c>
      <c r="F38" s="446">
        <v>0</v>
      </c>
      <c r="G38" s="446">
        <v>0</v>
      </c>
      <c r="H38" s="446">
        <v>0</v>
      </c>
      <c r="I38" s="446">
        <v>0</v>
      </c>
      <c r="J38" s="446">
        <v>0</v>
      </c>
      <c r="K38" s="446">
        <v>0</v>
      </c>
      <c r="L38" s="446">
        <v>0</v>
      </c>
      <c r="M38" s="446">
        <v>0</v>
      </c>
      <c r="N38" s="446">
        <v>0</v>
      </c>
      <c r="O38" s="446">
        <v>0</v>
      </c>
      <c r="P38" s="446">
        <v>0</v>
      </c>
      <c r="Q38" s="446">
        <v>0</v>
      </c>
      <c r="R38" s="446">
        <v>0</v>
      </c>
      <c r="S38" s="446">
        <v>0</v>
      </c>
      <c r="T38" s="447">
        <v>0</v>
      </c>
      <c r="U38" s="446">
        <v>0</v>
      </c>
      <c r="V38" s="446"/>
    </row>
    <row r="39" spans="1:22" ht="25.5" customHeight="1">
      <c r="A39" s="445">
        <v>46265</v>
      </c>
      <c r="B39" s="446" t="s">
        <v>21</v>
      </c>
      <c r="C39" s="446" t="s">
        <v>109</v>
      </c>
      <c r="D39" s="446">
        <v>2645</v>
      </c>
      <c r="E39" s="446">
        <v>0</v>
      </c>
      <c r="F39" s="446">
        <v>0</v>
      </c>
      <c r="G39" s="446">
        <v>0</v>
      </c>
      <c r="H39" s="446">
        <v>4.5</v>
      </c>
      <c r="I39" s="446">
        <v>1</v>
      </c>
      <c r="J39" s="446">
        <v>0</v>
      </c>
      <c r="K39" s="446">
        <v>1</v>
      </c>
      <c r="L39" s="446">
        <v>0</v>
      </c>
      <c r="M39" s="446">
        <v>0</v>
      </c>
      <c r="N39" s="446">
        <v>0</v>
      </c>
      <c r="O39" s="446">
        <v>1</v>
      </c>
      <c r="P39" s="446">
        <v>0</v>
      </c>
      <c r="Q39" s="446">
        <v>0</v>
      </c>
      <c r="R39" s="446">
        <v>0</v>
      </c>
      <c r="S39" s="446">
        <v>0</v>
      </c>
      <c r="T39" s="447">
        <v>0</v>
      </c>
      <c r="U39" s="446">
        <v>0</v>
      </c>
      <c r="V39" s="446"/>
    </row>
    <row r="40" spans="1:22" ht="25.5" customHeight="1">
      <c r="A40" s="445">
        <v>46265</v>
      </c>
      <c r="B40" s="446" t="s">
        <v>21</v>
      </c>
      <c r="C40" s="446" t="s">
        <v>103</v>
      </c>
      <c r="D40" s="446">
        <v>1522</v>
      </c>
      <c r="E40" s="446">
        <v>5.5</v>
      </c>
      <c r="F40" s="446">
        <v>1</v>
      </c>
      <c r="G40" s="446">
        <v>5.5</v>
      </c>
      <c r="H40" s="446">
        <v>0</v>
      </c>
      <c r="I40" s="446">
        <v>0</v>
      </c>
      <c r="J40" s="446">
        <v>0</v>
      </c>
      <c r="K40" s="446">
        <v>0</v>
      </c>
      <c r="L40" s="446">
        <v>0</v>
      </c>
      <c r="M40" s="446">
        <v>0</v>
      </c>
      <c r="N40" s="446">
        <v>1</v>
      </c>
      <c r="O40" s="446">
        <v>1</v>
      </c>
      <c r="P40" s="446">
        <v>0</v>
      </c>
      <c r="Q40" s="446">
        <v>1</v>
      </c>
      <c r="R40" s="446">
        <v>0</v>
      </c>
      <c r="S40" s="446">
        <v>0</v>
      </c>
      <c r="T40" s="447">
        <v>599</v>
      </c>
      <c r="U40" s="446">
        <v>1038</v>
      </c>
      <c r="V40" s="446"/>
    </row>
    <row r="41" spans="1:22" ht="25.5" customHeight="1">
      <c r="A41" s="445">
        <v>46265</v>
      </c>
      <c r="B41" s="446" t="s">
        <v>21</v>
      </c>
      <c r="C41" s="446" t="s">
        <v>112</v>
      </c>
      <c r="D41" s="446">
        <v>0</v>
      </c>
      <c r="E41" s="446">
        <v>0</v>
      </c>
      <c r="F41" s="446">
        <v>0</v>
      </c>
      <c r="G41" s="446">
        <v>0</v>
      </c>
      <c r="H41" s="446">
        <v>0</v>
      </c>
      <c r="I41" s="446">
        <v>0</v>
      </c>
      <c r="J41" s="446">
        <v>0</v>
      </c>
      <c r="K41" s="446">
        <v>0</v>
      </c>
      <c r="L41" s="446">
        <v>0</v>
      </c>
      <c r="M41" s="446">
        <v>0</v>
      </c>
      <c r="N41" s="446">
        <v>0</v>
      </c>
      <c r="O41" s="446">
        <v>0</v>
      </c>
      <c r="P41" s="446">
        <v>0</v>
      </c>
      <c r="Q41" s="446">
        <v>0</v>
      </c>
      <c r="R41" s="446">
        <v>0</v>
      </c>
      <c r="S41" s="446">
        <v>0</v>
      </c>
      <c r="T41" s="447">
        <v>0</v>
      </c>
      <c r="U41" s="446">
        <v>0</v>
      </c>
      <c r="V41" s="446"/>
    </row>
    <row r="42" spans="1:22" ht="25.5" customHeight="1">
      <c r="A42" s="445">
        <v>46266</v>
      </c>
      <c r="B42" s="446" t="s">
        <v>17</v>
      </c>
      <c r="C42" s="446" t="s">
        <v>96</v>
      </c>
      <c r="D42" s="446">
        <v>3938</v>
      </c>
      <c r="E42" s="446">
        <v>6.5</v>
      </c>
      <c r="F42" s="446">
        <v>1</v>
      </c>
      <c r="G42" s="446">
        <v>6.5</v>
      </c>
      <c r="H42" s="446">
        <v>4.5</v>
      </c>
      <c r="I42" s="446">
        <v>1</v>
      </c>
      <c r="J42" s="446">
        <v>0</v>
      </c>
      <c r="K42" s="446">
        <v>1</v>
      </c>
      <c r="L42" s="446">
        <v>0</v>
      </c>
      <c r="M42" s="446">
        <v>0</v>
      </c>
      <c r="N42" s="446">
        <v>2</v>
      </c>
      <c r="O42" s="446">
        <v>1</v>
      </c>
      <c r="P42" s="446">
        <v>0</v>
      </c>
      <c r="Q42" s="446">
        <v>0</v>
      </c>
      <c r="R42" s="446">
        <v>0</v>
      </c>
      <c r="S42" s="446">
        <v>0</v>
      </c>
      <c r="T42" s="447">
        <v>0</v>
      </c>
      <c r="U42" s="446">
        <v>1000</v>
      </c>
      <c r="V42" s="446"/>
    </row>
    <row r="43" spans="1:22" ht="25.5" customHeight="1">
      <c r="A43" s="445">
        <v>46266</v>
      </c>
      <c r="B43" s="446" t="s">
        <v>17</v>
      </c>
      <c r="C43" s="446" t="s">
        <v>108</v>
      </c>
      <c r="D43" s="446">
        <v>0</v>
      </c>
      <c r="E43" s="446">
        <v>0</v>
      </c>
      <c r="F43" s="446">
        <v>0</v>
      </c>
      <c r="G43" s="446">
        <v>0</v>
      </c>
      <c r="H43" s="446">
        <v>0</v>
      </c>
      <c r="I43" s="446">
        <v>0</v>
      </c>
      <c r="J43" s="446">
        <v>0</v>
      </c>
      <c r="K43" s="446">
        <v>0</v>
      </c>
      <c r="L43" s="446">
        <v>0</v>
      </c>
      <c r="M43" s="446">
        <v>0</v>
      </c>
      <c r="N43" s="446">
        <v>0</v>
      </c>
      <c r="O43" s="446">
        <v>0</v>
      </c>
      <c r="P43" s="446">
        <v>0</v>
      </c>
      <c r="Q43" s="446">
        <v>0</v>
      </c>
      <c r="R43" s="446">
        <v>0</v>
      </c>
      <c r="S43" s="446">
        <v>0</v>
      </c>
      <c r="T43" s="447">
        <v>0</v>
      </c>
      <c r="U43" s="446">
        <v>0</v>
      </c>
      <c r="V43" s="446"/>
    </row>
    <row r="44" spans="1:22" ht="25.5" customHeight="1">
      <c r="A44" s="445">
        <v>46266</v>
      </c>
      <c r="B44" s="446" t="s">
        <v>17</v>
      </c>
      <c r="C44" s="446" t="s">
        <v>101</v>
      </c>
      <c r="D44" s="446">
        <v>300</v>
      </c>
      <c r="E44" s="446">
        <v>0</v>
      </c>
      <c r="F44" s="446">
        <v>0</v>
      </c>
      <c r="G44" s="446">
        <v>0</v>
      </c>
      <c r="H44" s="446">
        <v>0</v>
      </c>
      <c r="I44" s="446">
        <v>0</v>
      </c>
      <c r="J44" s="446">
        <v>0</v>
      </c>
      <c r="K44" s="446">
        <v>0</v>
      </c>
      <c r="L44" s="446">
        <v>0</v>
      </c>
      <c r="M44" s="446">
        <v>0</v>
      </c>
      <c r="N44" s="446">
        <v>0</v>
      </c>
      <c r="O44" s="446">
        <v>0</v>
      </c>
      <c r="P44" s="446">
        <v>0</v>
      </c>
      <c r="Q44" s="446">
        <v>0</v>
      </c>
      <c r="R44" s="446">
        <v>0</v>
      </c>
      <c r="S44" s="446">
        <v>0</v>
      </c>
      <c r="T44" s="447">
        <v>0</v>
      </c>
      <c r="U44" s="446">
        <v>150</v>
      </c>
      <c r="V44" s="446"/>
    </row>
    <row r="45" spans="1:22" ht="25.5" customHeight="1">
      <c r="A45" s="445">
        <v>46266</v>
      </c>
      <c r="B45" s="446" t="s">
        <v>17</v>
      </c>
      <c r="C45" s="446" t="s">
        <v>106</v>
      </c>
      <c r="D45" s="446">
        <v>4032</v>
      </c>
      <c r="E45" s="446">
        <v>0</v>
      </c>
      <c r="F45" s="446">
        <v>0</v>
      </c>
      <c r="G45" s="446">
        <v>0</v>
      </c>
      <c r="H45" s="446">
        <v>11.5</v>
      </c>
      <c r="I45" s="446">
        <v>2</v>
      </c>
      <c r="J45" s="446">
        <v>2</v>
      </c>
      <c r="K45" s="446">
        <v>1</v>
      </c>
      <c r="L45" s="446">
        <v>1</v>
      </c>
      <c r="M45" s="446">
        <v>0</v>
      </c>
      <c r="N45" s="446">
        <v>0</v>
      </c>
      <c r="O45" s="446">
        <v>1</v>
      </c>
      <c r="P45" s="446">
        <v>1</v>
      </c>
      <c r="Q45" s="446">
        <v>0</v>
      </c>
      <c r="R45" s="446">
        <v>0</v>
      </c>
      <c r="S45" s="446">
        <v>0</v>
      </c>
      <c r="T45" s="447">
        <v>0</v>
      </c>
      <c r="U45" s="446">
        <v>768</v>
      </c>
      <c r="V45" s="446"/>
    </row>
    <row r="46" spans="1:22" ht="25.5" customHeight="1">
      <c r="A46" s="445">
        <v>46266</v>
      </c>
      <c r="B46" s="446" t="s">
        <v>22</v>
      </c>
      <c r="C46" s="446" t="s">
        <v>23</v>
      </c>
      <c r="D46" s="446">
        <v>2310</v>
      </c>
      <c r="E46" s="446">
        <v>0</v>
      </c>
      <c r="F46" s="446">
        <v>0</v>
      </c>
      <c r="G46" s="446">
        <v>0</v>
      </c>
      <c r="H46" s="446">
        <v>8.5</v>
      </c>
      <c r="I46" s="446">
        <v>2</v>
      </c>
      <c r="J46" s="446">
        <v>1</v>
      </c>
      <c r="K46" s="446">
        <v>1</v>
      </c>
      <c r="L46" s="446">
        <v>0</v>
      </c>
      <c r="M46" s="446">
        <v>0</v>
      </c>
      <c r="N46" s="446">
        <v>1</v>
      </c>
      <c r="O46" s="446">
        <v>1</v>
      </c>
      <c r="P46" s="446">
        <v>1</v>
      </c>
      <c r="Q46" s="446">
        <v>0</v>
      </c>
      <c r="R46" s="446">
        <v>0</v>
      </c>
      <c r="S46" s="446">
        <v>0</v>
      </c>
      <c r="T46" s="447">
        <v>0</v>
      </c>
      <c r="U46" s="446">
        <v>50</v>
      </c>
      <c r="V46" s="446"/>
    </row>
    <row r="47" spans="1:22" ht="25.5" customHeight="1">
      <c r="A47" s="445">
        <v>46266</v>
      </c>
      <c r="B47" s="446" t="s">
        <v>18</v>
      </c>
      <c r="C47" s="446" t="s">
        <v>97</v>
      </c>
      <c r="D47" s="446">
        <v>0</v>
      </c>
      <c r="E47" s="446">
        <v>0</v>
      </c>
      <c r="F47" s="446">
        <v>0</v>
      </c>
      <c r="G47" s="446">
        <v>0</v>
      </c>
      <c r="H47" s="446">
        <v>0</v>
      </c>
      <c r="I47" s="446">
        <v>0</v>
      </c>
      <c r="J47" s="446">
        <v>0</v>
      </c>
      <c r="K47" s="446">
        <v>0</v>
      </c>
      <c r="L47" s="446">
        <v>0</v>
      </c>
      <c r="M47" s="446">
        <v>0</v>
      </c>
      <c r="N47" s="446">
        <v>0</v>
      </c>
      <c r="O47" s="446">
        <v>0</v>
      </c>
      <c r="P47" s="446">
        <v>0</v>
      </c>
      <c r="Q47" s="446">
        <v>0</v>
      </c>
      <c r="R47" s="446">
        <v>0</v>
      </c>
      <c r="S47" s="446">
        <v>0</v>
      </c>
      <c r="T47" s="447">
        <v>0</v>
      </c>
      <c r="U47" s="446">
        <v>0</v>
      </c>
      <c r="V47" s="446"/>
    </row>
    <row r="48" spans="1:22" ht="25.5" customHeight="1">
      <c r="A48" s="445">
        <v>46266</v>
      </c>
      <c r="B48" s="446" t="s">
        <v>18</v>
      </c>
      <c r="C48" s="446" t="s">
        <v>98</v>
      </c>
      <c r="D48" s="446">
        <v>1919</v>
      </c>
      <c r="E48" s="446">
        <v>5.5</v>
      </c>
      <c r="F48" s="446">
        <v>1</v>
      </c>
      <c r="G48" s="446">
        <v>5.5</v>
      </c>
      <c r="H48" s="446">
        <v>0</v>
      </c>
      <c r="I48" s="446">
        <v>0</v>
      </c>
      <c r="J48" s="446">
        <v>0</v>
      </c>
      <c r="K48" s="446">
        <v>0</v>
      </c>
      <c r="L48" s="446">
        <v>0</v>
      </c>
      <c r="M48" s="446">
        <v>0</v>
      </c>
      <c r="N48" s="446">
        <v>1</v>
      </c>
      <c r="O48" s="446">
        <v>0</v>
      </c>
      <c r="P48" s="446">
        <v>0</v>
      </c>
      <c r="Q48" s="446">
        <v>0</v>
      </c>
      <c r="R48" s="446">
        <v>0</v>
      </c>
      <c r="S48" s="446">
        <v>0</v>
      </c>
      <c r="T48" s="447">
        <v>0</v>
      </c>
      <c r="U48" s="446">
        <v>515</v>
      </c>
      <c r="V48" s="446"/>
    </row>
    <row r="49" spans="1:22" ht="25.5" customHeight="1">
      <c r="A49" s="445">
        <v>46266</v>
      </c>
      <c r="B49" s="446" t="s">
        <v>18</v>
      </c>
      <c r="C49" s="446" t="s">
        <v>110</v>
      </c>
      <c r="D49" s="446">
        <v>700</v>
      </c>
      <c r="E49" s="446">
        <v>0</v>
      </c>
      <c r="F49" s="446">
        <v>0</v>
      </c>
      <c r="G49" s="446">
        <v>0</v>
      </c>
      <c r="H49" s="446">
        <v>0</v>
      </c>
      <c r="I49" s="446">
        <v>0</v>
      </c>
      <c r="J49" s="446">
        <v>0</v>
      </c>
      <c r="K49" s="446">
        <v>0</v>
      </c>
      <c r="L49" s="446">
        <v>0</v>
      </c>
      <c r="M49" s="446">
        <v>0</v>
      </c>
      <c r="N49" s="446">
        <v>0</v>
      </c>
      <c r="O49" s="446">
        <v>0</v>
      </c>
      <c r="P49" s="446">
        <v>0</v>
      </c>
      <c r="Q49" s="446">
        <v>1.5</v>
      </c>
      <c r="R49" s="446">
        <v>0</v>
      </c>
      <c r="S49" s="446">
        <v>0</v>
      </c>
      <c r="T49" s="447">
        <v>0</v>
      </c>
      <c r="U49" s="446">
        <v>0</v>
      </c>
      <c r="V49" s="446"/>
    </row>
    <row r="50" spans="1:22" ht="25.5" customHeight="1">
      <c r="A50" s="445">
        <v>46266</v>
      </c>
      <c r="B50" s="446" t="s">
        <v>19</v>
      </c>
      <c r="C50" s="446" t="s">
        <v>99</v>
      </c>
      <c r="D50" s="446">
        <v>3160</v>
      </c>
      <c r="E50" s="446">
        <v>3.5</v>
      </c>
      <c r="F50" s="446">
        <v>0</v>
      </c>
      <c r="G50" s="446">
        <v>3.5</v>
      </c>
      <c r="H50" s="446">
        <v>10.5</v>
      </c>
      <c r="I50" s="446">
        <v>1</v>
      </c>
      <c r="J50" s="446">
        <v>1</v>
      </c>
      <c r="K50" s="446">
        <v>0</v>
      </c>
      <c r="L50" s="446">
        <v>1</v>
      </c>
      <c r="M50" s="446">
        <v>1</v>
      </c>
      <c r="N50" s="446">
        <v>0</v>
      </c>
      <c r="O50" s="446">
        <v>1</v>
      </c>
      <c r="P50" s="446">
        <v>1</v>
      </c>
      <c r="Q50" s="446">
        <v>0</v>
      </c>
      <c r="R50" s="446">
        <v>0</v>
      </c>
      <c r="S50" s="446">
        <v>0</v>
      </c>
      <c r="T50" s="447">
        <v>0</v>
      </c>
      <c r="U50" s="446">
        <v>1140</v>
      </c>
      <c r="V50" s="446"/>
    </row>
    <row r="51" spans="1:22" ht="25.5" customHeight="1">
      <c r="A51" s="445">
        <v>46266</v>
      </c>
      <c r="B51" s="446" t="s">
        <v>19</v>
      </c>
      <c r="C51" s="446" t="s">
        <v>88</v>
      </c>
      <c r="D51" s="446">
        <v>4510</v>
      </c>
      <c r="E51" s="446">
        <v>1.5</v>
      </c>
      <c r="F51" s="446">
        <v>0</v>
      </c>
      <c r="G51" s="446">
        <v>0</v>
      </c>
      <c r="H51" s="446">
        <v>4.75</v>
      </c>
      <c r="I51" s="446">
        <v>2</v>
      </c>
      <c r="J51" s="446">
        <v>1</v>
      </c>
      <c r="K51" s="446">
        <v>1</v>
      </c>
      <c r="L51" s="446">
        <v>0</v>
      </c>
      <c r="M51" s="446">
        <v>0</v>
      </c>
      <c r="N51" s="446">
        <v>0</v>
      </c>
      <c r="O51" s="446">
        <v>1</v>
      </c>
      <c r="P51" s="446">
        <v>0</v>
      </c>
      <c r="Q51" s="446">
        <v>0</v>
      </c>
      <c r="R51" s="446">
        <v>0</v>
      </c>
      <c r="S51" s="446">
        <v>0</v>
      </c>
      <c r="T51" s="447">
        <v>0</v>
      </c>
      <c r="U51" s="446">
        <v>0</v>
      </c>
      <c r="V51" s="446"/>
    </row>
    <row r="52" spans="1:22" ht="25.5" customHeight="1">
      <c r="A52" s="445">
        <v>46266</v>
      </c>
      <c r="B52" s="446" t="s">
        <v>19</v>
      </c>
      <c r="C52" s="446" t="s">
        <v>107</v>
      </c>
      <c r="D52" s="446">
        <v>0</v>
      </c>
      <c r="E52" s="446">
        <v>0</v>
      </c>
      <c r="F52" s="446">
        <v>0</v>
      </c>
      <c r="G52" s="446">
        <v>0</v>
      </c>
      <c r="H52" s="446">
        <v>0</v>
      </c>
      <c r="I52" s="446">
        <v>0</v>
      </c>
      <c r="J52" s="446">
        <v>0</v>
      </c>
      <c r="K52" s="446">
        <v>0</v>
      </c>
      <c r="L52" s="446">
        <v>0</v>
      </c>
      <c r="M52" s="446">
        <v>0</v>
      </c>
      <c r="N52" s="446">
        <v>0</v>
      </c>
      <c r="O52" s="446">
        <v>0</v>
      </c>
      <c r="P52" s="446">
        <v>0</v>
      </c>
      <c r="Q52" s="446">
        <v>0</v>
      </c>
      <c r="R52" s="446">
        <v>0</v>
      </c>
      <c r="S52" s="446">
        <v>0</v>
      </c>
      <c r="T52" s="447">
        <v>0</v>
      </c>
      <c r="U52" s="446">
        <v>0</v>
      </c>
      <c r="V52" s="446"/>
    </row>
    <row r="53" spans="1:22" ht="25.5" customHeight="1">
      <c r="A53" s="445">
        <v>46266</v>
      </c>
      <c r="B53" s="446" t="s">
        <v>20</v>
      </c>
      <c r="C53" s="446" t="s">
        <v>93</v>
      </c>
      <c r="D53" s="446">
        <v>200</v>
      </c>
      <c r="E53" s="446">
        <v>3</v>
      </c>
      <c r="F53" s="446">
        <v>0</v>
      </c>
      <c r="G53" s="446">
        <v>0</v>
      </c>
      <c r="H53" s="446">
        <v>26.5</v>
      </c>
      <c r="I53" s="446">
        <v>1</v>
      </c>
      <c r="J53" s="446">
        <v>1</v>
      </c>
      <c r="K53" s="446">
        <v>0</v>
      </c>
      <c r="L53" s="446">
        <v>1</v>
      </c>
      <c r="M53" s="446">
        <v>1</v>
      </c>
      <c r="N53" s="446">
        <v>0</v>
      </c>
      <c r="O53" s="446">
        <v>1</v>
      </c>
      <c r="P53" s="446">
        <v>0</v>
      </c>
      <c r="Q53" s="446">
        <v>0</v>
      </c>
      <c r="R53" s="446">
        <v>0</v>
      </c>
      <c r="S53" s="446">
        <v>0</v>
      </c>
      <c r="T53" s="447">
        <v>0</v>
      </c>
      <c r="U53" s="446">
        <v>0</v>
      </c>
      <c r="V53" s="446"/>
    </row>
    <row r="54" spans="1:22" ht="25.5" customHeight="1">
      <c r="A54" s="445">
        <v>46266</v>
      </c>
      <c r="B54" s="446" t="s">
        <v>20</v>
      </c>
      <c r="C54" s="446" t="s">
        <v>105</v>
      </c>
      <c r="D54" s="446">
        <v>1120</v>
      </c>
      <c r="E54" s="446">
        <v>0</v>
      </c>
      <c r="F54" s="446">
        <v>0</v>
      </c>
      <c r="G54" s="446">
        <v>0</v>
      </c>
      <c r="H54" s="446">
        <v>0</v>
      </c>
      <c r="I54" s="446">
        <v>0</v>
      </c>
      <c r="J54" s="446">
        <v>0</v>
      </c>
      <c r="K54" s="446">
        <v>0</v>
      </c>
      <c r="L54" s="446">
        <v>0</v>
      </c>
      <c r="M54" s="446">
        <v>0</v>
      </c>
      <c r="N54" s="446">
        <v>0</v>
      </c>
      <c r="O54" s="446">
        <v>0</v>
      </c>
      <c r="P54" s="446">
        <v>0</v>
      </c>
      <c r="Q54" s="446">
        <v>0</v>
      </c>
      <c r="R54" s="446">
        <v>0</v>
      </c>
      <c r="S54" s="446">
        <v>0</v>
      </c>
      <c r="T54" s="447">
        <v>0</v>
      </c>
      <c r="U54" s="446">
        <v>0</v>
      </c>
      <c r="V54" s="446"/>
    </row>
    <row r="55" spans="1:22" ht="25.5" customHeight="1">
      <c r="A55" s="445">
        <v>46266</v>
      </c>
      <c r="B55" s="446" t="s">
        <v>20</v>
      </c>
      <c r="C55" s="446" t="s">
        <v>102</v>
      </c>
      <c r="D55" s="446">
        <v>0</v>
      </c>
      <c r="E55" s="446">
        <v>0</v>
      </c>
      <c r="F55" s="446">
        <v>0</v>
      </c>
      <c r="G55" s="446">
        <v>0</v>
      </c>
      <c r="H55" s="446">
        <v>0</v>
      </c>
      <c r="I55" s="446">
        <v>0</v>
      </c>
      <c r="J55" s="446">
        <v>0</v>
      </c>
      <c r="K55" s="446">
        <v>0</v>
      </c>
      <c r="L55" s="446">
        <v>0</v>
      </c>
      <c r="M55" s="446">
        <v>0</v>
      </c>
      <c r="N55" s="446">
        <v>0</v>
      </c>
      <c r="O55" s="446">
        <v>0</v>
      </c>
      <c r="P55" s="446">
        <v>0</v>
      </c>
      <c r="Q55" s="446">
        <v>0</v>
      </c>
      <c r="R55" s="446">
        <v>0</v>
      </c>
      <c r="S55" s="446">
        <v>0</v>
      </c>
      <c r="T55" s="447">
        <v>0</v>
      </c>
      <c r="U55" s="446">
        <v>0</v>
      </c>
      <c r="V55" s="446"/>
    </row>
    <row r="56" spans="1:22" ht="25.5" customHeight="1">
      <c r="A56" s="445">
        <v>46266</v>
      </c>
      <c r="B56" s="446" t="s">
        <v>20</v>
      </c>
      <c r="C56" s="446" t="s">
        <v>111</v>
      </c>
      <c r="D56" s="446">
        <v>0</v>
      </c>
      <c r="E56" s="446">
        <v>0</v>
      </c>
      <c r="F56" s="446">
        <v>0</v>
      </c>
      <c r="G56" s="446">
        <v>0</v>
      </c>
      <c r="H56" s="446">
        <v>0</v>
      </c>
      <c r="I56" s="446">
        <v>0</v>
      </c>
      <c r="J56" s="446">
        <v>0</v>
      </c>
      <c r="K56" s="446">
        <v>0</v>
      </c>
      <c r="L56" s="446">
        <v>0</v>
      </c>
      <c r="M56" s="446">
        <v>0</v>
      </c>
      <c r="N56" s="446">
        <v>0</v>
      </c>
      <c r="O56" s="446">
        <v>0</v>
      </c>
      <c r="P56" s="446">
        <v>0</v>
      </c>
      <c r="Q56" s="446">
        <v>0</v>
      </c>
      <c r="R56" s="446">
        <v>0</v>
      </c>
      <c r="S56" s="446">
        <v>0</v>
      </c>
      <c r="T56" s="447">
        <v>0</v>
      </c>
      <c r="U56" s="446">
        <v>0</v>
      </c>
      <c r="V56" s="446"/>
    </row>
    <row r="57" spans="1:22" ht="25.5" customHeight="1">
      <c r="A57" s="445">
        <v>46266</v>
      </c>
      <c r="B57" s="446" t="s">
        <v>21</v>
      </c>
      <c r="C57" s="446" t="s">
        <v>90</v>
      </c>
      <c r="D57" s="446">
        <v>0</v>
      </c>
      <c r="E57" s="446">
        <v>0</v>
      </c>
      <c r="F57" s="446">
        <v>0</v>
      </c>
      <c r="G57" s="446">
        <v>0</v>
      </c>
      <c r="H57" s="446">
        <v>0</v>
      </c>
      <c r="I57" s="446">
        <v>0</v>
      </c>
      <c r="J57" s="446">
        <v>0</v>
      </c>
      <c r="K57" s="446">
        <v>0</v>
      </c>
      <c r="L57" s="446">
        <v>0</v>
      </c>
      <c r="M57" s="446">
        <v>0</v>
      </c>
      <c r="N57" s="446">
        <v>0</v>
      </c>
      <c r="O57" s="446">
        <v>0</v>
      </c>
      <c r="P57" s="446">
        <v>0</v>
      </c>
      <c r="Q57" s="446">
        <v>0</v>
      </c>
      <c r="R57" s="446">
        <v>0</v>
      </c>
      <c r="S57" s="446">
        <v>0</v>
      </c>
      <c r="T57" s="447">
        <v>0</v>
      </c>
      <c r="U57" s="446">
        <v>0</v>
      </c>
      <c r="V57" s="446"/>
    </row>
    <row r="58" spans="1:22" ht="25.5" customHeight="1">
      <c r="A58" s="445">
        <v>46266</v>
      </c>
      <c r="B58" s="446" t="s">
        <v>21</v>
      </c>
      <c r="C58" s="446" t="s">
        <v>109</v>
      </c>
      <c r="D58" s="446">
        <v>7505</v>
      </c>
      <c r="E58" s="446">
        <v>0</v>
      </c>
      <c r="F58" s="446">
        <v>0</v>
      </c>
      <c r="G58" s="446">
        <v>0</v>
      </c>
      <c r="H58" s="446">
        <v>31</v>
      </c>
      <c r="I58" s="446">
        <v>3</v>
      </c>
      <c r="J58" s="446">
        <v>2</v>
      </c>
      <c r="K58" s="446">
        <v>2</v>
      </c>
      <c r="L58" s="446">
        <v>3</v>
      </c>
      <c r="M58" s="446">
        <v>1</v>
      </c>
      <c r="N58" s="446">
        <v>0</v>
      </c>
      <c r="O58" s="446">
        <v>3</v>
      </c>
      <c r="P58" s="446">
        <v>1</v>
      </c>
      <c r="Q58" s="446">
        <v>0</v>
      </c>
      <c r="R58" s="446">
        <v>0</v>
      </c>
      <c r="S58" s="446">
        <v>0</v>
      </c>
      <c r="T58" s="447">
        <v>0</v>
      </c>
      <c r="U58" s="446">
        <v>2018</v>
      </c>
      <c r="V58" s="446"/>
    </row>
    <row r="59" spans="1:22" ht="25.5" customHeight="1">
      <c r="A59" s="445">
        <v>46266</v>
      </c>
      <c r="B59" s="446" t="s">
        <v>21</v>
      </c>
      <c r="C59" s="446" t="s">
        <v>103</v>
      </c>
      <c r="D59" s="446">
        <v>1250</v>
      </c>
      <c r="E59" s="446">
        <v>5</v>
      </c>
      <c r="F59" s="446">
        <v>0</v>
      </c>
      <c r="G59" s="446">
        <v>3.5</v>
      </c>
      <c r="H59" s="446">
        <v>3.5</v>
      </c>
      <c r="I59" s="446">
        <v>1</v>
      </c>
      <c r="J59" s="446">
        <v>1</v>
      </c>
      <c r="K59" s="446">
        <v>1</v>
      </c>
      <c r="L59" s="446">
        <v>0</v>
      </c>
      <c r="M59" s="446">
        <v>0</v>
      </c>
      <c r="N59" s="446">
        <v>0</v>
      </c>
      <c r="O59" s="446">
        <v>0</v>
      </c>
      <c r="P59" s="446">
        <v>0</v>
      </c>
      <c r="Q59" s="446">
        <v>0</v>
      </c>
      <c r="R59" s="446">
        <v>0</v>
      </c>
      <c r="S59" s="446">
        <v>0</v>
      </c>
      <c r="T59" s="447">
        <v>0</v>
      </c>
      <c r="U59" s="446">
        <v>0</v>
      </c>
      <c r="V59" s="446"/>
    </row>
    <row r="60" spans="1:22" ht="25.5" customHeight="1">
      <c r="A60" s="445">
        <v>46266</v>
      </c>
      <c r="B60" s="446" t="s">
        <v>21</v>
      </c>
      <c r="C60" s="446" t="s">
        <v>112</v>
      </c>
      <c r="D60" s="446">
        <v>0</v>
      </c>
      <c r="E60" s="446">
        <v>0</v>
      </c>
      <c r="F60" s="446">
        <v>0</v>
      </c>
      <c r="G60" s="446">
        <v>0</v>
      </c>
      <c r="H60" s="446">
        <v>0</v>
      </c>
      <c r="I60" s="446">
        <v>0</v>
      </c>
      <c r="J60" s="446">
        <v>0</v>
      </c>
      <c r="K60" s="446">
        <v>0</v>
      </c>
      <c r="L60" s="446">
        <v>0</v>
      </c>
      <c r="M60" s="446">
        <v>0</v>
      </c>
      <c r="N60" s="446">
        <v>0</v>
      </c>
      <c r="O60" s="446">
        <v>0</v>
      </c>
      <c r="P60" s="446">
        <v>0</v>
      </c>
      <c r="Q60" s="446">
        <v>0</v>
      </c>
      <c r="R60" s="446">
        <v>0</v>
      </c>
      <c r="S60" s="446">
        <v>0</v>
      </c>
      <c r="T60" s="447">
        <v>0</v>
      </c>
      <c r="U60" s="446">
        <v>0</v>
      </c>
      <c r="V60" s="446"/>
    </row>
    <row r="61" spans="1:22" ht="25.5" customHeight="1">
      <c r="A61" s="445">
        <v>46267</v>
      </c>
      <c r="B61" s="446" t="s">
        <v>17</v>
      </c>
      <c r="C61" s="446" t="s">
        <v>96</v>
      </c>
      <c r="D61" s="446">
        <v>3780</v>
      </c>
      <c r="E61" s="446">
        <v>0</v>
      </c>
      <c r="F61" s="446">
        <v>0</v>
      </c>
      <c r="G61" s="446">
        <v>0</v>
      </c>
      <c r="H61" s="446">
        <v>13.5</v>
      </c>
      <c r="I61" s="446">
        <v>2</v>
      </c>
      <c r="J61" s="446">
        <v>0</v>
      </c>
      <c r="K61" s="446">
        <v>0</v>
      </c>
      <c r="L61" s="446">
        <v>2</v>
      </c>
      <c r="M61" s="446">
        <v>1</v>
      </c>
      <c r="N61" s="446">
        <v>0</v>
      </c>
      <c r="O61" s="446">
        <v>1</v>
      </c>
      <c r="P61" s="446">
        <v>1</v>
      </c>
      <c r="Q61" s="446">
        <v>0</v>
      </c>
      <c r="R61" s="446">
        <v>0</v>
      </c>
      <c r="S61" s="446">
        <v>0</v>
      </c>
      <c r="T61" s="447">
        <v>0</v>
      </c>
      <c r="U61" s="446">
        <v>50</v>
      </c>
      <c r="V61" s="446"/>
    </row>
    <row r="62" spans="1:22" ht="25.5" customHeight="1">
      <c r="A62" s="445">
        <v>46267</v>
      </c>
      <c r="B62" s="446" t="s">
        <v>17</v>
      </c>
      <c r="C62" s="446" t="s">
        <v>108</v>
      </c>
      <c r="D62" s="446">
        <v>11305</v>
      </c>
      <c r="E62" s="446">
        <v>0</v>
      </c>
      <c r="F62" s="446">
        <v>0</v>
      </c>
      <c r="G62" s="446">
        <v>0</v>
      </c>
      <c r="H62" s="446">
        <v>33</v>
      </c>
      <c r="I62" s="446">
        <v>4</v>
      </c>
      <c r="J62" s="446">
        <v>1</v>
      </c>
      <c r="K62" s="446">
        <v>0</v>
      </c>
      <c r="L62" s="446">
        <v>3</v>
      </c>
      <c r="M62" s="446">
        <v>1</v>
      </c>
      <c r="N62" s="446">
        <v>0</v>
      </c>
      <c r="O62" s="446">
        <v>3</v>
      </c>
      <c r="P62" s="446">
        <v>2</v>
      </c>
      <c r="Q62" s="446">
        <v>0</v>
      </c>
      <c r="R62" s="446">
        <v>0</v>
      </c>
      <c r="S62" s="446">
        <v>0</v>
      </c>
      <c r="T62" s="447">
        <v>0</v>
      </c>
      <c r="U62" s="446">
        <v>1225</v>
      </c>
      <c r="V62" s="446"/>
    </row>
    <row r="63" spans="1:22" ht="25.5" customHeight="1">
      <c r="A63" s="445">
        <v>46267</v>
      </c>
      <c r="B63" s="446" t="s">
        <v>17</v>
      </c>
      <c r="C63" s="446" t="s">
        <v>101</v>
      </c>
      <c r="D63" s="446">
        <v>2090</v>
      </c>
      <c r="E63" s="446">
        <v>0</v>
      </c>
      <c r="F63" s="446">
        <v>0</v>
      </c>
      <c r="G63" s="446">
        <v>0</v>
      </c>
      <c r="H63" s="446">
        <v>6.5</v>
      </c>
      <c r="I63" s="446">
        <v>1</v>
      </c>
      <c r="J63" s="446">
        <v>0</v>
      </c>
      <c r="K63" s="446">
        <v>1</v>
      </c>
      <c r="L63" s="446">
        <v>1</v>
      </c>
      <c r="M63" s="446">
        <v>0</v>
      </c>
      <c r="N63" s="446">
        <v>1</v>
      </c>
      <c r="O63" s="446">
        <v>1</v>
      </c>
      <c r="P63" s="446">
        <v>0</v>
      </c>
      <c r="Q63" s="446">
        <v>0</v>
      </c>
      <c r="R63" s="446">
        <v>0</v>
      </c>
      <c r="S63" s="446">
        <v>0</v>
      </c>
      <c r="T63" s="447">
        <v>0</v>
      </c>
      <c r="U63" s="446">
        <v>0</v>
      </c>
      <c r="V63" s="446"/>
    </row>
    <row r="64" spans="1:22" ht="25.5" customHeight="1">
      <c r="A64" s="445">
        <v>46267</v>
      </c>
      <c r="B64" s="446" t="s">
        <v>17</v>
      </c>
      <c r="C64" s="446" t="s">
        <v>106</v>
      </c>
      <c r="D64" s="446">
        <v>1578</v>
      </c>
      <c r="E64" s="446">
        <v>5.5</v>
      </c>
      <c r="F64" s="446">
        <v>1</v>
      </c>
      <c r="G64" s="446">
        <v>5.5</v>
      </c>
      <c r="H64" s="446">
        <v>0.8</v>
      </c>
      <c r="I64" s="446">
        <v>0</v>
      </c>
      <c r="J64" s="446">
        <v>0</v>
      </c>
      <c r="K64" s="446">
        <v>0</v>
      </c>
      <c r="L64" s="446">
        <v>0</v>
      </c>
      <c r="M64" s="446">
        <v>0</v>
      </c>
      <c r="N64" s="446">
        <v>2</v>
      </c>
      <c r="O64" s="446">
        <v>0</v>
      </c>
      <c r="P64" s="446">
        <v>0</v>
      </c>
      <c r="Q64" s="446">
        <v>0</v>
      </c>
      <c r="R64" s="446">
        <v>0</v>
      </c>
      <c r="S64" s="446">
        <v>0</v>
      </c>
      <c r="T64" s="447">
        <v>0</v>
      </c>
      <c r="U64" s="446">
        <v>100</v>
      </c>
      <c r="V64" s="446"/>
    </row>
    <row r="65" spans="1:22" ht="25.5" customHeight="1">
      <c r="A65" s="445">
        <v>46267</v>
      </c>
      <c r="B65" s="446" t="s">
        <v>22</v>
      </c>
      <c r="C65" s="446" t="s">
        <v>23</v>
      </c>
      <c r="D65" s="446">
        <v>-150</v>
      </c>
      <c r="E65" s="446">
        <v>0</v>
      </c>
      <c r="F65" s="446">
        <v>0</v>
      </c>
      <c r="G65" s="446">
        <v>0</v>
      </c>
      <c r="H65" s="446">
        <v>0</v>
      </c>
      <c r="I65" s="446">
        <v>0</v>
      </c>
      <c r="J65" s="446">
        <v>0</v>
      </c>
      <c r="K65" s="446">
        <v>0</v>
      </c>
      <c r="L65" s="446">
        <v>0</v>
      </c>
      <c r="M65" s="446">
        <v>0</v>
      </c>
      <c r="N65" s="446">
        <v>0</v>
      </c>
      <c r="O65" s="446">
        <v>0</v>
      </c>
      <c r="P65" s="446">
        <v>0</v>
      </c>
      <c r="Q65" s="446">
        <v>0</v>
      </c>
      <c r="R65" s="446">
        <v>0</v>
      </c>
      <c r="S65" s="446">
        <v>0</v>
      </c>
      <c r="T65" s="447">
        <v>0</v>
      </c>
      <c r="U65" s="446">
        <v>0</v>
      </c>
      <c r="V65" s="446"/>
    </row>
    <row r="66" spans="1:22" ht="25.5" customHeight="1">
      <c r="A66" s="445">
        <v>46267</v>
      </c>
      <c r="B66" s="446" t="s">
        <v>18</v>
      </c>
      <c r="C66" s="446" t="s">
        <v>97</v>
      </c>
      <c r="D66" s="446">
        <v>200</v>
      </c>
      <c r="E66" s="446">
        <v>2</v>
      </c>
      <c r="F66" s="446">
        <v>0</v>
      </c>
      <c r="G66" s="446">
        <v>2</v>
      </c>
      <c r="H66" s="446">
        <v>0</v>
      </c>
      <c r="I66" s="446">
        <v>0</v>
      </c>
      <c r="J66" s="446">
        <v>0</v>
      </c>
      <c r="K66" s="446">
        <v>0</v>
      </c>
      <c r="L66" s="446">
        <v>0</v>
      </c>
      <c r="M66" s="446">
        <v>0</v>
      </c>
      <c r="N66" s="446">
        <v>0</v>
      </c>
      <c r="O66" s="446">
        <v>0</v>
      </c>
      <c r="P66" s="446">
        <v>0</v>
      </c>
      <c r="Q66" s="446">
        <v>0</v>
      </c>
      <c r="R66" s="446">
        <v>0</v>
      </c>
      <c r="S66" s="446">
        <v>0</v>
      </c>
      <c r="T66" s="447">
        <v>0</v>
      </c>
      <c r="U66" s="446">
        <v>0</v>
      </c>
      <c r="V66" s="446"/>
    </row>
    <row r="67" spans="1:22" ht="25.5" customHeight="1">
      <c r="A67" s="445">
        <v>46267</v>
      </c>
      <c r="B67" s="446" t="s">
        <v>18</v>
      </c>
      <c r="C67" s="446" t="s">
        <v>98</v>
      </c>
      <c r="D67" s="446">
        <v>0</v>
      </c>
      <c r="E67" s="446">
        <v>0</v>
      </c>
      <c r="F67" s="446">
        <v>0</v>
      </c>
      <c r="G67" s="446">
        <v>0</v>
      </c>
      <c r="H67" s="446">
        <v>0</v>
      </c>
      <c r="I67" s="446">
        <v>0</v>
      </c>
      <c r="J67" s="446">
        <v>0</v>
      </c>
      <c r="K67" s="446">
        <v>0</v>
      </c>
      <c r="L67" s="446">
        <v>0</v>
      </c>
      <c r="M67" s="446">
        <v>0</v>
      </c>
      <c r="N67" s="446">
        <v>0</v>
      </c>
      <c r="O67" s="446">
        <v>0</v>
      </c>
      <c r="P67" s="446">
        <v>0</v>
      </c>
      <c r="Q67" s="446">
        <v>0</v>
      </c>
      <c r="R67" s="446">
        <v>0</v>
      </c>
      <c r="S67" s="446">
        <v>0</v>
      </c>
      <c r="T67" s="447">
        <v>0</v>
      </c>
      <c r="U67" s="446">
        <v>0</v>
      </c>
      <c r="V67" s="446"/>
    </row>
    <row r="68" spans="1:22" ht="25.5" customHeight="1">
      <c r="A68" s="445">
        <v>46267</v>
      </c>
      <c r="B68" s="446" t="s">
        <v>18</v>
      </c>
      <c r="C68" s="446" t="s">
        <v>110</v>
      </c>
      <c r="D68" s="446">
        <v>2920</v>
      </c>
      <c r="E68" s="446">
        <v>0</v>
      </c>
      <c r="F68" s="446">
        <v>0</v>
      </c>
      <c r="G68" s="446">
        <v>0</v>
      </c>
      <c r="H68" s="446">
        <v>1</v>
      </c>
      <c r="I68" s="446">
        <v>0</v>
      </c>
      <c r="J68" s="446">
        <v>0</v>
      </c>
      <c r="K68" s="446">
        <v>0</v>
      </c>
      <c r="L68" s="446">
        <v>0</v>
      </c>
      <c r="M68" s="446">
        <v>0</v>
      </c>
      <c r="N68" s="446">
        <v>0</v>
      </c>
      <c r="O68" s="446">
        <v>1</v>
      </c>
      <c r="P68" s="446">
        <v>0</v>
      </c>
      <c r="Q68" s="446">
        <v>0</v>
      </c>
      <c r="R68" s="446">
        <v>0</v>
      </c>
      <c r="S68" s="446">
        <v>0</v>
      </c>
      <c r="T68" s="447">
        <v>0</v>
      </c>
      <c r="U68" s="446">
        <v>0</v>
      </c>
      <c r="V68" s="446"/>
    </row>
    <row r="69" spans="1:22" ht="25.5" customHeight="1">
      <c r="A69" s="445">
        <v>46267</v>
      </c>
      <c r="B69" s="446" t="s">
        <v>19</v>
      </c>
      <c r="C69" s="446" t="s">
        <v>99</v>
      </c>
      <c r="D69" s="446">
        <v>0</v>
      </c>
      <c r="E69" s="446">
        <v>0</v>
      </c>
      <c r="F69" s="446">
        <v>0</v>
      </c>
      <c r="G69" s="446">
        <v>0</v>
      </c>
      <c r="H69" s="446">
        <v>0</v>
      </c>
      <c r="I69" s="446">
        <v>0</v>
      </c>
      <c r="J69" s="446">
        <v>0</v>
      </c>
      <c r="K69" s="446">
        <v>0</v>
      </c>
      <c r="L69" s="446">
        <v>0</v>
      </c>
      <c r="M69" s="446">
        <v>0</v>
      </c>
      <c r="N69" s="446">
        <v>0</v>
      </c>
      <c r="O69" s="446">
        <v>0</v>
      </c>
      <c r="P69" s="446">
        <v>0</v>
      </c>
      <c r="Q69" s="446">
        <v>0</v>
      </c>
      <c r="R69" s="446">
        <v>0</v>
      </c>
      <c r="S69" s="446">
        <v>0</v>
      </c>
      <c r="T69" s="447">
        <v>0</v>
      </c>
      <c r="U69" s="446">
        <v>0</v>
      </c>
      <c r="V69" s="446"/>
    </row>
    <row r="70" spans="1:22" ht="25.5" customHeight="1">
      <c r="A70" s="445">
        <v>46267</v>
      </c>
      <c r="B70" s="446" t="s">
        <v>19</v>
      </c>
      <c r="C70" s="446" t="s">
        <v>88</v>
      </c>
      <c r="D70" s="446">
        <v>5222.2</v>
      </c>
      <c r="E70" s="446">
        <v>0</v>
      </c>
      <c r="F70" s="446">
        <v>0</v>
      </c>
      <c r="G70" s="446">
        <v>0</v>
      </c>
      <c r="H70" s="446">
        <v>22</v>
      </c>
      <c r="I70" s="446">
        <v>2</v>
      </c>
      <c r="J70" s="446">
        <v>2</v>
      </c>
      <c r="K70" s="446">
        <v>0</v>
      </c>
      <c r="L70" s="446">
        <v>2</v>
      </c>
      <c r="M70" s="446">
        <v>1</v>
      </c>
      <c r="N70" s="446">
        <v>1</v>
      </c>
      <c r="O70" s="446">
        <v>1</v>
      </c>
      <c r="P70" s="446">
        <v>1</v>
      </c>
      <c r="Q70" s="446">
        <v>0</v>
      </c>
      <c r="R70" s="446">
        <v>0</v>
      </c>
      <c r="S70" s="446">
        <v>0</v>
      </c>
      <c r="T70" s="447">
        <v>0</v>
      </c>
      <c r="U70" s="446">
        <v>50</v>
      </c>
      <c r="V70" s="446"/>
    </row>
    <row r="71" spans="1:22" ht="25.5" customHeight="1">
      <c r="A71" s="445">
        <v>46267</v>
      </c>
      <c r="B71" s="446" t="s">
        <v>19</v>
      </c>
      <c r="C71" s="446" t="s">
        <v>107</v>
      </c>
      <c r="D71" s="446">
        <v>1306</v>
      </c>
      <c r="E71" s="446">
        <v>1.5</v>
      </c>
      <c r="F71" s="446">
        <v>0</v>
      </c>
      <c r="G71" s="446">
        <v>0</v>
      </c>
      <c r="H71" s="446">
        <v>0</v>
      </c>
      <c r="I71" s="446">
        <v>0</v>
      </c>
      <c r="J71" s="446">
        <v>0</v>
      </c>
      <c r="K71" s="446">
        <v>0</v>
      </c>
      <c r="L71" s="446">
        <v>0</v>
      </c>
      <c r="M71" s="446">
        <v>0</v>
      </c>
      <c r="N71" s="446">
        <v>0</v>
      </c>
      <c r="O71" s="446">
        <v>1</v>
      </c>
      <c r="P71" s="446">
        <v>1</v>
      </c>
      <c r="Q71" s="446">
        <v>0</v>
      </c>
      <c r="R71" s="446">
        <v>0</v>
      </c>
      <c r="S71" s="446">
        <v>0</v>
      </c>
      <c r="T71" s="447">
        <v>0</v>
      </c>
      <c r="U71" s="446">
        <v>170</v>
      </c>
      <c r="V71" s="446"/>
    </row>
    <row r="72" spans="1:22" ht="25.5" customHeight="1">
      <c r="A72" s="445">
        <v>46267</v>
      </c>
      <c r="B72" s="446" t="s">
        <v>20</v>
      </c>
      <c r="C72" s="446" t="s">
        <v>93</v>
      </c>
      <c r="D72" s="446">
        <v>0</v>
      </c>
      <c r="E72" s="446">
        <v>0</v>
      </c>
      <c r="F72" s="446">
        <v>0</v>
      </c>
      <c r="G72" s="446">
        <v>0</v>
      </c>
      <c r="H72" s="446">
        <v>0</v>
      </c>
      <c r="I72" s="446">
        <v>0</v>
      </c>
      <c r="J72" s="446">
        <v>0</v>
      </c>
      <c r="K72" s="446">
        <v>0</v>
      </c>
      <c r="L72" s="446">
        <v>0</v>
      </c>
      <c r="M72" s="446">
        <v>0</v>
      </c>
      <c r="N72" s="446">
        <v>0</v>
      </c>
      <c r="O72" s="446">
        <v>0</v>
      </c>
      <c r="P72" s="446">
        <v>0</v>
      </c>
      <c r="Q72" s="446">
        <v>0</v>
      </c>
      <c r="R72" s="446">
        <v>0</v>
      </c>
      <c r="S72" s="446">
        <v>0</v>
      </c>
      <c r="T72" s="447">
        <v>0</v>
      </c>
      <c r="U72" s="446">
        <v>0</v>
      </c>
      <c r="V72" s="446"/>
    </row>
    <row r="73" spans="1:22" ht="25.5" customHeight="1">
      <c r="A73" s="445">
        <v>46267</v>
      </c>
      <c r="B73" s="446" t="s">
        <v>20</v>
      </c>
      <c r="C73" s="446" t="s">
        <v>105</v>
      </c>
      <c r="D73" s="446">
        <v>-100</v>
      </c>
      <c r="E73" s="446">
        <v>0</v>
      </c>
      <c r="F73" s="446">
        <v>0</v>
      </c>
      <c r="G73" s="446">
        <v>0</v>
      </c>
      <c r="H73" s="446">
        <v>0</v>
      </c>
      <c r="I73" s="446">
        <v>0</v>
      </c>
      <c r="J73" s="446">
        <v>0</v>
      </c>
      <c r="K73" s="446">
        <v>0</v>
      </c>
      <c r="L73" s="446">
        <v>0</v>
      </c>
      <c r="M73" s="446">
        <v>0</v>
      </c>
      <c r="N73" s="446">
        <v>0</v>
      </c>
      <c r="O73" s="446">
        <v>0</v>
      </c>
      <c r="P73" s="446">
        <v>2</v>
      </c>
      <c r="Q73" s="446">
        <v>0</v>
      </c>
      <c r="R73" s="446">
        <v>0</v>
      </c>
      <c r="S73" s="446">
        <v>0</v>
      </c>
      <c r="T73" s="447">
        <v>0</v>
      </c>
      <c r="U73" s="446">
        <v>0</v>
      </c>
      <c r="V73" s="446"/>
    </row>
    <row r="74" spans="1:22" ht="25.5" customHeight="1">
      <c r="A74" s="445">
        <v>46267</v>
      </c>
      <c r="B74" s="446" t="s">
        <v>20</v>
      </c>
      <c r="C74" s="446" t="s">
        <v>102</v>
      </c>
      <c r="D74" s="446">
        <v>960</v>
      </c>
      <c r="E74" s="446">
        <v>0</v>
      </c>
      <c r="F74" s="446">
        <v>0</v>
      </c>
      <c r="G74" s="446">
        <v>0</v>
      </c>
      <c r="H74" s="446">
        <v>7</v>
      </c>
      <c r="I74" s="446">
        <v>1</v>
      </c>
      <c r="J74" s="446">
        <v>0</v>
      </c>
      <c r="K74" s="446">
        <v>0</v>
      </c>
      <c r="L74" s="446">
        <v>1</v>
      </c>
      <c r="M74" s="446">
        <v>1</v>
      </c>
      <c r="N74" s="446">
        <v>0</v>
      </c>
      <c r="O74" s="446">
        <v>0</v>
      </c>
      <c r="P74" s="446">
        <v>0</v>
      </c>
      <c r="Q74" s="446">
        <v>0</v>
      </c>
      <c r="R74" s="446">
        <v>0</v>
      </c>
      <c r="S74" s="446">
        <v>0</v>
      </c>
      <c r="T74" s="447">
        <v>0</v>
      </c>
      <c r="U74" s="446">
        <v>50</v>
      </c>
      <c r="V74" s="446"/>
    </row>
    <row r="75" spans="1:22" ht="25.5" customHeight="1">
      <c r="A75" s="445">
        <v>46267</v>
      </c>
      <c r="B75" s="446" t="s">
        <v>20</v>
      </c>
      <c r="C75" s="446" t="s">
        <v>111</v>
      </c>
      <c r="D75" s="446">
        <v>145</v>
      </c>
      <c r="E75" s="446">
        <v>0</v>
      </c>
      <c r="F75" s="446">
        <v>0</v>
      </c>
      <c r="G75" s="446">
        <v>0</v>
      </c>
      <c r="H75" s="446">
        <v>0</v>
      </c>
      <c r="I75" s="446">
        <v>0</v>
      </c>
      <c r="J75" s="446">
        <v>0</v>
      </c>
      <c r="K75" s="446">
        <v>0</v>
      </c>
      <c r="L75" s="446">
        <v>0</v>
      </c>
      <c r="M75" s="446">
        <v>0</v>
      </c>
      <c r="N75" s="446">
        <v>0</v>
      </c>
      <c r="O75" s="446">
        <v>0</v>
      </c>
      <c r="P75" s="446">
        <v>0</v>
      </c>
      <c r="Q75" s="446">
        <v>0</v>
      </c>
      <c r="R75" s="446">
        <v>0</v>
      </c>
      <c r="S75" s="446">
        <v>0</v>
      </c>
      <c r="T75" s="447">
        <v>0</v>
      </c>
      <c r="U75" s="446">
        <v>555</v>
      </c>
      <c r="V75" s="446"/>
    </row>
    <row r="76" spans="1:22" ht="25.5" customHeight="1">
      <c r="A76" s="445">
        <v>46267</v>
      </c>
      <c r="B76" s="446" t="s">
        <v>21</v>
      </c>
      <c r="C76" s="446" t="s">
        <v>90</v>
      </c>
      <c r="D76" s="446">
        <v>0</v>
      </c>
      <c r="E76" s="446">
        <v>0</v>
      </c>
      <c r="F76" s="446">
        <v>0</v>
      </c>
      <c r="G76" s="446">
        <v>0</v>
      </c>
      <c r="H76" s="446">
        <v>0</v>
      </c>
      <c r="I76" s="446">
        <v>0</v>
      </c>
      <c r="J76" s="446">
        <v>0</v>
      </c>
      <c r="K76" s="446">
        <v>0</v>
      </c>
      <c r="L76" s="446">
        <v>0</v>
      </c>
      <c r="M76" s="446">
        <v>0</v>
      </c>
      <c r="N76" s="446">
        <v>0</v>
      </c>
      <c r="O76" s="446">
        <v>0</v>
      </c>
      <c r="P76" s="446">
        <v>0</v>
      </c>
      <c r="Q76" s="446">
        <v>0</v>
      </c>
      <c r="R76" s="446">
        <v>0</v>
      </c>
      <c r="S76" s="446">
        <v>0</v>
      </c>
      <c r="T76" s="447">
        <v>0</v>
      </c>
      <c r="U76" s="446">
        <v>0</v>
      </c>
      <c r="V76" s="446"/>
    </row>
    <row r="77" spans="1:22" ht="25.5" customHeight="1">
      <c r="A77" s="445">
        <v>46267</v>
      </c>
      <c r="B77" s="446" t="s">
        <v>21</v>
      </c>
      <c r="C77" s="446" t="s">
        <v>109</v>
      </c>
      <c r="D77" s="446">
        <v>4342.2</v>
      </c>
      <c r="E77" s="446">
        <v>1.5</v>
      </c>
      <c r="F77" s="446">
        <v>0</v>
      </c>
      <c r="G77" s="446">
        <v>0</v>
      </c>
      <c r="H77" s="446">
        <v>20.5</v>
      </c>
      <c r="I77" s="446">
        <v>3</v>
      </c>
      <c r="J77" s="446">
        <v>2</v>
      </c>
      <c r="K77" s="446">
        <v>0</v>
      </c>
      <c r="L77" s="446">
        <v>2</v>
      </c>
      <c r="M77" s="446">
        <v>0</v>
      </c>
      <c r="N77" s="446">
        <v>0</v>
      </c>
      <c r="O77" s="446">
        <v>3</v>
      </c>
      <c r="P77" s="446">
        <v>0</v>
      </c>
      <c r="Q77" s="446">
        <v>0</v>
      </c>
      <c r="R77" s="446">
        <v>0</v>
      </c>
      <c r="S77" s="446">
        <v>0</v>
      </c>
      <c r="T77" s="447">
        <v>0</v>
      </c>
      <c r="U77" s="446">
        <v>445</v>
      </c>
      <c r="V77" s="446"/>
    </row>
    <row r="78" spans="1:22" ht="25.5" customHeight="1">
      <c r="A78" s="445">
        <v>46267</v>
      </c>
      <c r="B78" s="446" t="s">
        <v>21</v>
      </c>
      <c r="C78" s="446" t="s">
        <v>103</v>
      </c>
      <c r="D78" s="446">
        <v>0</v>
      </c>
      <c r="E78" s="446">
        <v>0</v>
      </c>
      <c r="F78" s="446">
        <v>0</v>
      </c>
      <c r="G78" s="446">
        <v>0</v>
      </c>
      <c r="H78" s="446">
        <v>0</v>
      </c>
      <c r="I78" s="446">
        <v>0</v>
      </c>
      <c r="J78" s="446">
        <v>0</v>
      </c>
      <c r="K78" s="446">
        <v>0</v>
      </c>
      <c r="L78" s="446">
        <v>0</v>
      </c>
      <c r="M78" s="446">
        <v>0</v>
      </c>
      <c r="N78" s="446">
        <v>0</v>
      </c>
      <c r="O78" s="446">
        <v>0</v>
      </c>
      <c r="P78" s="446">
        <v>0</v>
      </c>
      <c r="Q78" s="446">
        <v>0</v>
      </c>
      <c r="R78" s="446">
        <v>0</v>
      </c>
      <c r="S78" s="446">
        <v>0</v>
      </c>
      <c r="T78" s="447">
        <v>0</v>
      </c>
      <c r="U78" s="446">
        <v>0</v>
      </c>
      <c r="V78" s="446"/>
    </row>
    <row r="79" spans="1:22" ht="25.5" customHeight="1">
      <c r="A79" s="445">
        <v>46267</v>
      </c>
      <c r="B79" s="446" t="s">
        <v>21</v>
      </c>
      <c r="C79" s="446" t="s">
        <v>112</v>
      </c>
      <c r="D79" s="446">
        <v>2437</v>
      </c>
      <c r="E79" s="446">
        <v>0</v>
      </c>
      <c r="F79" s="446">
        <v>0</v>
      </c>
      <c r="G79" s="446">
        <v>0</v>
      </c>
      <c r="H79" s="446">
        <v>6.5</v>
      </c>
      <c r="I79" s="446">
        <v>1</v>
      </c>
      <c r="J79" s="446">
        <v>0</v>
      </c>
      <c r="K79" s="446">
        <v>0</v>
      </c>
      <c r="L79" s="446">
        <v>1</v>
      </c>
      <c r="M79" s="446">
        <v>0</v>
      </c>
      <c r="N79" s="446">
        <v>1</v>
      </c>
      <c r="O79" s="446">
        <v>1</v>
      </c>
      <c r="P79" s="446">
        <v>0</v>
      </c>
      <c r="Q79" s="446">
        <v>0</v>
      </c>
      <c r="R79" s="446">
        <v>0</v>
      </c>
      <c r="S79" s="446">
        <v>0</v>
      </c>
      <c r="T79" s="447">
        <v>0</v>
      </c>
      <c r="U79" s="446">
        <v>3122.73</v>
      </c>
      <c r="V79" s="446"/>
    </row>
    <row r="80" spans="1:22" ht="25.5" customHeight="1">
      <c r="A80" s="445">
        <v>46268</v>
      </c>
      <c r="B80" s="446" t="s">
        <v>17</v>
      </c>
      <c r="C80" s="446" t="s">
        <v>96</v>
      </c>
      <c r="D80" s="446">
        <v>0</v>
      </c>
      <c r="E80" s="446">
        <v>0</v>
      </c>
      <c r="F80" s="446">
        <v>0</v>
      </c>
      <c r="G80" s="446">
        <v>0</v>
      </c>
      <c r="H80" s="446">
        <v>0</v>
      </c>
      <c r="I80" s="446">
        <v>0</v>
      </c>
      <c r="J80" s="446">
        <v>0</v>
      </c>
      <c r="K80" s="446">
        <v>0</v>
      </c>
      <c r="L80" s="446">
        <v>0</v>
      </c>
      <c r="M80" s="446">
        <v>0</v>
      </c>
      <c r="N80" s="446">
        <v>0</v>
      </c>
      <c r="O80" s="446">
        <v>0</v>
      </c>
      <c r="P80" s="446">
        <v>0</v>
      </c>
      <c r="Q80" s="446">
        <v>0</v>
      </c>
      <c r="R80" s="446">
        <v>0</v>
      </c>
      <c r="S80" s="446">
        <v>0</v>
      </c>
      <c r="T80" s="447">
        <v>0</v>
      </c>
      <c r="U80" s="446">
        <v>0</v>
      </c>
      <c r="V80" s="446"/>
    </row>
    <row r="81" spans="1:22" ht="25.5" customHeight="1">
      <c r="A81" s="445">
        <v>46268</v>
      </c>
      <c r="B81" s="446" t="s">
        <v>17</v>
      </c>
      <c r="C81" s="446" t="s">
        <v>108</v>
      </c>
      <c r="D81" s="446">
        <v>16450.2</v>
      </c>
      <c r="E81" s="446">
        <v>10.5</v>
      </c>
      <c r="F81" s="446">
        <v>1</v>
      </c>
      <c r="G81" s="446">
        <v>10.5</v>
      </c>
      <c r="H81" s="446">
        <v>54.5</v>
      </c>
      <c r="I81" s="446">
        <v>5</v>
      </c>
      <c r="J81" s="446">
        <v>2</v>
      </c>
      <c r="K81" s="446">
        <v>1</v>
      </c>
      <c r="L81" s="446">
        <v>3</v>
      </c>
      <c r="M81" s="446">
        <v>2</v>
      </c>
      <c r="N81" s="446">
        <v>2</v>
      </c>
      <c r="O81" s="446">
        <v>4</v>
      </c>
      <c r="P81" s="446">
        <v>4</v>
      </c>
      <c r="Q81" s="446">
        <v>0</v>
      </c>
      <c r="R81" s="446">
        <v>0</v>
      </c>
      <c r="S81" s="446">
        <v>0</v>
      </c>
      <c r="T81" s="447">
        <v>0</v>
      </c>
      <c r="U81" s="446">
        <v>2030</v>
      </c>
      <c r="V81" s="446"/>
    </row>
    <row r="82" spans="1:22" ht="25.5" customHeight="1">
      <c r="A82" s="445">
        <v>46268</v>
      </c>
      <c r="B82" s="446" t="s">
        <v>17</v>
      </c>
      <c r="C82" s="446" t="s">
        <v>101</v>
      </c>
      <c r="D82" s="446">
        <v>8192</v>
      </c>
      <c r="E82" s="446">
        <v>5.5</v>
      </c>
      <c r="F82" s="446">
        <v>1</v>
      </c>
      <c r="G82" s="446">
        <v>5.5</v>
      </c>
      <c r="H82" s="446">
        <v>25.2</v>
      </c>
      <c r="I82" s="446">
        <v>4</v>
      </c>
      <c r="J82" s="446">
        <v>3</v>
      </c>
      <c r="K82" s="446">
        <v>0</v>
      </c>
      <c r="L82" s="446">
        <v>1</v>
      </c>
      <c r="M82" s="446">
        <v>1</v>
      </c>
      <c r="N82" s="446">
        <v>3</v>
      </c>
      <c r="O82" s="446">
        <v>1</v>
      </c>
      <c r="P82" s="446">
        <v>1</v>
      </c>
      <c r="Q82" s="446">
        <v>1</v>
      </c>
      <c r="R82" s="446">
        <v>0</v>
      </c>
      <c r="S82" s="446">
        <v>0</v>
      </c>
      <c r="T82" s="447">
        <v>0</v>
      </c>
      <c r="U82" s="446">
        <v>1078</v>
      </c>
      <c r="V82" s="446"/>
    </row>
    <row r="83" spans="1:22" ht="25.5" customHeight="1">
      <c r="A83" s="445">
        <v>46268</v>
      </c>
      <c r="B83" s="446" t="s">
        <v>17</v>
      </c>
      <c r="C83" s="446" t="s">
        <v>106</v>
      </c>
      <c r="D83" s="446">
        <v>0</v>
      </c>
      <c r="E83" s="446">
        <v>0</v>
      </c>
      <c r="F83" s="446">
        <v>0</v>
      </c>
      <c r="G83" s="446">
        <v>0</v>
      </c>
      <c r="H83" s="446">
        <v>0</v>
      </c>
      <c r="I83" s="446">
        <v>0</v>
      </c>
      <c r="J83" s="446">
        <v>0</v>
      </c>
      <c r="K83" s="446">
        <v>0</v>
      </c>
      <c r="L83" s="446">
        <v>0</v>
      </c>
      <c r="M83" s="446">
        <v>0</v>
      </c>
      <c r="N83" s="446">
        <v>0</v>
      </c>
      <c r="O83" s="446">
        <v>0</v>
      </c>
      <c r="P83" s="446">
        <v>0</v>
      </c>
      <c r="Q83" s="446">
        <v>0</v>
      </c>
      <c r="R83" s="446">
        <v>0</v>
      </c>
      <c r="S83" s="446">
        <v>0</v>
      </c>
      <c r="T83" s="447">
        <v>0</v>
      </c>
      <c r="U83" s="446">
        <v>0</v>
      </c>
      <c r="V83" s="446"/>
    </row>
    <row r="84" spans="1:22" ht="25.5" customHeight="1">
      <c r="A84" s="445">
        <v>46268</v>
      </c>
      <c r="B84" s="446" t="s">
        <v>22</v>
      </c>
      <c r="C84" s="446" t="s">
        <v>23</v>
      </c>
      <c r="D84" s="446">
        <v>12330</v>
      </c>
      <c r="E84" s="446">
        <v>3</v>
      </c>
      <c r="F84" s="446">
        <v>0</v>
      </c>
      <c r="G84" s="446">
        <v>3</v>
      </c>
      <c r="H84" s="446">
        <v>29.5</v>
      </c>
      <c r="I84" s="446">
        <v>3</v>
      </c>
      <c r="J84" s="446">
        <v>2</v>
      </c>
      <c r="K84" s="446">
        <v>0</v>
      </c>
      <c r="L84" s="446">
        <v>3</v>
      </c>
      <c r="M84" s="446">
        <v>1</v>
      </c>
      <c r="N84" s="446">
        <v>1</v>
      </c>
      <c r="O84" s="446">
        <v>4</v>
      </c>
      <c r="P84" s="446">
        <v>0</v>
      </c>
      <c r="Q84" s="446">
        <v>0</v>
      </c>
      <c r="R84" s="446">
        <v>0</v>
      </c>
      <c r="S84" s="446">
        <v>0</v>
      </c>
      <c r="T84" s="447">
        <v>0</v>
      </c>
      <c r="U84" s="446">
        <v>0</v>
      </c>
      <c r="V84" s="446"/>
    </row>
    <row r="85" spans="1:22" ht="25.5" customHeight="1">
      <c r="A85" s="445">
        <v>46268</v>
      </c>
      <c r="B85" s="446" t="s">
        <v>18</v>
      </c>
      <c r="C85" s="446" t="s">
        <v>97</v>
      </c>
      <c r="D85" s="446">
        <v>2835</v>
      </c>
      <c r="E85" s="446">
        <v>0</v>
      </c>
      <c r="F85" s="446">
        <v>0</v>
      </c>
      <c r="G85" s="446">
        <v>0</v>
      </c>
      <c r="H85" s="446">
        <v>4</v>
      </c>
      <c r="I85" s="446">
        <v>1</v>
      </c>
      <c r="J85" s="446">
        <v>0</v>
      </c>
      <c r="K85" s="446">
        <v>1</v>
      </c>
      <c r="L85" s="446">
        <v>0</v>
      </c>
      <c r="M85" s="446">
        <v>0</v>
      </c>
      <c r="N85" s="446">
        <v>0</v>
      </c>
      <c r="O85" s="446">
        <v>1</v>
      </c>
      <c r="P85" s="446">
        <v>0</v>
      </c>
      <c r="Q85" s="446">
        <v>0</v>
      </c>
      <c r="R85" s="446">
        <v>0</v>
      </c>
      <c r="S85" s="446">
        <v>0</v>
      </c>
      <c r="T85" s="447">
        <v>0</v>
      </c>
      <c r="U85" s="446">
        <v>455</v>
      </c>
      <c r="V85" s="446"/>
    </row>
    <row r="86" spans="1:22" ht="25.5" customHeight="1">
      <c r="A86" s="445">
        <v>46268</v>
      </c>
      <c r="B86" s="446" t="s">
        <v>18</v>
      </c>
      <c r="C86" s="446" t="s">
        <v>98</v>
      </c>
      <c r="D86" s="446">
        <v>0</v>
      </c>
      <c r="E86" s="446">
        <v>0</v>
      </c>
      <c r="F86" s="446">
        <v>0</v>
      </c>
      <c r="G86" s="446">
        <v>0</v>
      </c>
      <c r="H86" s="446">
        <v>0</v>
      </c>
      <c r="I86" s="446">
        <v>0</v>
      </c>
      <c r="J86" s="446">
        <v>0</v>
      </c>
      <c r="K86" s="446">
        <v>0</v>
      </c>
      <c r="L86" s="446">
        <v>0</v>
      </c>
      <c r="M86" s="446">
        <v>0</v>
      </c>
      <c r="N86" s="446">
        <v>0</v>
      </c>
      <c r="O86" s="446">
        <v>0</v>
      </c>
      <c r="P86" s="446">
        <v>0</v>
      </c>
      <c r="Q86" s="446">
        <v>0</v>
      </c>
      <c r="R86" s="446">
        <v>0</v>
      </c>
      <c r="S86" s="446">
        <v>0</v>
      </c>
      <c r="T86" s="447">
        <v>0</v>
      </c>
      <c r="U86" s="446">
        <v>0</v>
      </c>
      <c r="V86" s="446"/>
    </row>
    <row r="87" spans="1:22" ht="25.5" customHeight="1">
      <c r="A87" s="445">
        <v>46268</v>
      </c>
      <c r="B87" s="446" t="s">
        <v>18</v>
      </c>
      <c r="C87" s="446" t="s">
        <v>110</v>
      </c>
      <c r="D87" s="446">
        <v>0</v>
      </c>
      <c r="E87" s="446">
        <v>0</v>
      </c>
      <c r="F87" s="446">
        <v>0</v>
      </c>
      <c r="G87" s="446">
        <v>0</v>
      </c>
      <c r="H87" s="446">
        <v>0</v>
      </c>
      <c r="I87" s="446">
        <v>0</v>
      </c>
      <c r="J87" s="446">
        <v>0</v>
      </c>
      <c r="K87" s="446">
        <v>0</v>
      </c>
      <c r="L87" s="446">
        <v>0</v>
      </c>
      <c r="M87" s="446">
        <v>0</v>
      </c>
      <c r="N87" s="446">
        <v>0</v>
      </c>
      <c r="O87" s="446">
        <v>0</v>
      </c>
      <c r="P87" s="446">
        <v>0</v>
      </c>
      <c r="Q87" s="446">
        <v>0</v>
      </c>
      <c r="R87" s="446">
        <v>0</v>
      </c>
      <c r="S87" s="446">
        <v>0</v>
      </c>
      <c r="T87" s="447">
        <v>0</v>
      </c>
      <c r="U87" s="446">
        <v>0</v>
      </c>
      <c r="V87" s="446"/>
    </row>
    <row r="88" spans="1:22" ht="25.5" customHeight="1">
      <c r="A88" s="445">
        <v>46268</v>
      </c>
      <c r="B88" s="446" t="s">
        <v>19</v>
      </c>
      <c r="C88" s="446" t="s">
        <v>99</v>
      </c>
      <c r="D88" s="446">
        <v>3350</v>
      </c>
      <c r="E88" s="446">
        <v>7.5</v>
      </c>
      <c r="F88" s="446">
        <v>1</v>
      </c>
      <c r="G88" s="446">
        <v>7.5</v>
      </c>
      <c r="H88" s="446">
        <v>14.5</v>
      </c>
      <c r="I88" s="446">
        <v>1</v>
      </c>
      <c r="J88" s="446">
        <v>1</v>
      </c>
      <c r="K88" s="446">
        <v>0</v>
      </c>
      <c r="L88" s="446">
        <v>1</v>
      </c>
      <c r="M88" s="446">
        <v>1</v>
      </c>
      <c r="N88" s="446">
        <v>1</v>
      </c>
      <c r="O88" s="446">
        <v>1</v>
      </c>
      <c r="P88" s="446">
        <v>1</v>
      </c>
      <c r="Q88" s="446">
        <v>0</v>
      </c>
      <c r="R88" s="446">
        <v>0</v>
      </c>
      <c r="S88" s="446">
        <v>0</v>
      </c>
      <c r="T88" s="447">
        <v>0</v>
      </c>
      <c r="U88" s="446">
        <v>0</v>
      </c>
      <c r="V88" s="446"/>
    </row>
    <row r="89" spans="1:22" ht="25.5" customHeight="1">
      <c r="A89" s="445">
        <v>46268</v>
      </c>
      <c r="B89" s="446" t="s">
        <v>19</v>
      </c>
      <c r="C89" s="446" t="s">
        <v>88</v>
      </c>
      <c r="D89" s="446">
        <v>0</v>
      </c>
      <c r="E89" s="446">
        <v>0</v>
      </c>
      <c r="F89" s="446">
        <v>0</v>
      </c>
      <c r="G89" s="446">
        <v>0</v>
      </c>
      <c r="H89" s="446">
        <v>0</v>
      </c>
      <c r="I89" s="446">
        <v>0</v>
      </c>
      <c r="J89" s="446">
        <v>0</v>
      </c>
      <c r="K89" s="446">
        <v>0</v>
      </c>
      <c r="L89" s="446">
        <v>0</v>
      </c>
      <c r="M89" s="446">
        <v>0</v>
      </c>
      <c r="N89" s="446">
        <v>0</v>
      </c>
      <c r="O89" s="446">
        <v>0</v>
      </c>
      <c r="P89" s="446">
        <v>0</v>
      </c>
      <c r="Q89" s="446">
        <v>0</v>
      </c>
      <c r="R89" s="446">
        <v>0</v>
      </c>
      <c r="S89" s="446">
        <v>0</v>
      </c>
      <c r="T89" s="447">
        <v>0</v>
      </c>
      <c r="U89" s="446">
        <v>0</v>
      </c>
      <c r="V89" s="446"/>
    </row>
    <row r="90" spans="1:22" ht="25.5" customHeight="1">
      <c r="A90" s="445">
        <v>46268</v>
      </c>
      <c r="B90" s="446" t="s">
        <v>19</v>
      </c>
      <c r="C90" s="446" t="s">
        <v>107</v>
      </c>
      <c r="D90" s="446">
        <v>0</v>
      </c>
      <c r="E90" s="446">
        <v>0</v>
      </c>
      <c r="F90" s="446">
        <v>0</v>
      </c>
      <c r="G90" s="446">
        <v>0</v>
      </c>
      <c r="H90" s="446">
        <v>0</v>
      </c>
      <c r="I90" s="446">
        <v>0</v>
      </c>
      <c r="J90" s="446">
        <v>0</v>
      </c>
      <c r="K90" s="446">
        <v>0</v>
      </c>
      <c r="L90" s="446">
        <v>0</v>
      </c>
      <c r="M90" s="446">
        <v>0</v>
      </c>
      <c r="N90" s="446">
        <v>0</v>
      </c>
      <c r="O90" s="446">
        <v>0</v>
      </c>
      <c r="P90" s="446">
        <v>0</v>
      </c>
      <c r="Q90" s="446">
        <v>0</v>
      </c>
      <c r="R90" s="446">
        <v>0</v>
      </c>
      <c r="S90" s="446">
        <v>0</v>
      </c>
      <c r="T90" s="447">
        <v>0</v>
      </c>
      <c r="U90" s="446">
        <v>0</v>
      </c>
      <c r="V90" s="446"/>
    </row>
    <row r="91" spans="1:22" ht="25.5" customHeight="1">
      <c r="A91" s="445">
        <v>46268</v>
      </c>
      <c r="B91" s="446" t="s">
        <v>20</v>
      </c>
      <c r="C91" s="446" t="s">
        <v>93</v>
      </c>
      <c r="D91" s="446">
        <v>5825</v>
      </c>
      <c r="E91" s="446">
        <v>3</v>
      </c>
      <c r="F91" s="446">
        <v>0</v>
      </c>
      <c r="G91" s="446">
        <v>3</v>
      </c>
      <c r="H91" s="446">
        <v>22</v>
      </c>
      <c r="I91" s="446">
        <v>3</v>
      </c>
      <c r="J91" s="446">
        <v>2</v>
      </c>
      <c r="K91" s="446">
        <v>2</v>
      </c>
      <c r="L91" s="446">
        <v>2</v>
      </c>
      <c r="M91" s="446">
        <v>0</v>
      </c>
      <c r="N91" s="446">
        <v>1</v>
      </c>
      <c r="O91" s="446">
        <v>2</v>
      </c>
      <c r="P91" s="446">
        <v>1</v>
      </c>
      <c r="Q91" s="446">
        <v>0</v>
      </c>
      <c r="R91" s="446">
        <v>0</v>
      </c>
      <c r="S91" s="446">
        <v>0</v>
      </c>
      <c r="T91" s="447">
        <v>0</v>
      </c>
      <c r="U91" s="446">
        <v>455</v>
      </c>
      <c r="V91" s="446"/>
    </row>
    <row r="92" spans="1:22" ht="25.5" customHeight="1">
      <c r="A92" s="445">
        <v>46268</v>
      </c>
      <c r="B92" s="446" t="s">
        <v>20</v>
      </c>
      <c r="C92" s="446" t="s">
        <v>105</v>
      </c>
      <c r="D92" s="446">
        <v>6761</v>
      </c>
      <c r="E92" s="446">
        <v>8.5</v>
      </c>
      <c r="F92" s="446">
        <v>1</v>
      </c>
      <c r="G92" s="446">
        <v>8.5</v>
      </c>
      <c r="H92" s="446">
        <v>22.7</v>
      </c>
      <c r="I92" s="446">
        <v>3</v>
      </c>
      <c r="J92" s="446">
        <v>3</v>
      </c>
      <c r="K92" s="446">
        <v>1</v>
      </c>
      <c r="L92" s="446">
        <v>1</v>
      </c>
      <c r="M92" s="446">
        <v>1</v>
      </c>
      <c r="N92" s="446">
        <v>2</v>
      </c>
      <c r="O92" s="446">
        <v>3</v>
      </c>
      <c r="P92" s="446">
        <v>3</v>
      </c>
      <c r="Q92" s="446">
        <v>0</v>
      </c>
      <c r="R92" s="446">
        <v>0</v>
      </c>
      <c r="S92" s="446">
        <v>0</v>
      </c>
      <c r="T92" s="447">
        <v>0</v>
      </c>
      <c r="U92" s="446">
        <v>1150</v>
      </c>
      <c r="V92" s="446"/>
    </row>
    <row r="93" spans="1:22" ht="25.5" customHeight="1">
      <c r="A93" s="445">
        <v>46268</v>
      </c>
      <c r="B93" s="446" t="s">
        <v>20</v>
      </c>
      <c r="C93" s="446" t="s">
        <v>102</v>
      </c>
      <c r="D93" s="446">
        <v>8093</v>
      </c>
      <c r="E93" s="446">
        <v>7.5</v>
      </c>
      <c r="F93" s="446">
        <v>1</v>
      </c>
      <c r="G93" s="446">
        <v>7.5</v>
      </c>
      <c r="H93" s="446">
        <v>12.5</v>
      </c>
      <c r="I93" s="446">
        <v>1</v>
      </c>
      <c r="J93" s="446">
        <v>1</v>
      </c>
      <c r="K93" s="446">
        <v>0</v>
      </c>
      <c r="L93" s="446">
        <v>1</v>
      </c>
      <c r="M93" s="446">
        <v>1</v>
      </c>
      <c r="N93" s="446">
        <v>1</v>
      </c>
      <c r="O93" s="446">
        <v>1</v>
      </c>
      <c r="P93" s="446">
        <v>1</v>
      </c>
      <c r="Q93" s="446">
        <v>0</v>
      </c>
      <c r="R93" s="446">
        <v>0</v>
      </c>
      <c r="S93" s="446">
        <v>0</v>
      </c>
      <c r="T93" s="447">
        <v>0</v>
      </c>
      <c r="U93" s="446">
        <v>1046</v>
      </c>
      <c r="V93" s="446"/>
    </row>
    <row r="94" spans="1:22" ht="25.5" customHeight="1">
      <c r="A94" s="445">
        <v>46268</v>
      </c>
      <c r="B94" s="446" t="s">
        <v>20</v>
      </c>
      <c r="C94" s="446" t="s">
        <v>111</v>
      </c>
      <c r="D94" s="446">
        <v>0</v>
      </c>
      <c r="E94" s="446">
        <v>0</v>
      </c>
      <c r="F94" s="446">
        <v>0</v>
      </c>
      <c r="G94" s="446">
        <v>0</v>
      </c>
      <c r="H94" s="446">
        <v>0</v>
      </c>
      <c r="I94" s="446">
        <v>0</v>
      </c>
      <c r="J94" s="446">
        <v>0</v>
      </c>
      <c r="K94" s="446">
        <v>0</v>
      </c>
      <c r="L94" s="446">
        <v>0</v>
      </c>
      <c r="M94" s="446">
        <v>0</v>
      </c>
      <c r="N94" s="446">
        <v>0</v>
      </c>
      <c r="O94" s="446">
        <v>0</v>
      </c>
      <c r="P94" s="446">
        <v>0</v>
      </c>
      <c r="Q94" s="446">
        <v>0</v>
      </c>
      <c r="R94" s="446">
        <v>0</v>
      </c>
      <c r="S94" s="446">
        <v>0</v>
      </c>
      <c r="T94" s="447">
        <v>0</v>
      </c>
      <c r="U94" s="446">
        <v>0</v>
      </c>
      <c r="V94" s="446"/>
    </row>
    <row r="95" spans="1:22" ht="25.5" customHeight="1">
      <c r="A95" s="445">
        <v>46268</v>
      </c>
      <c r="B95" s="446" t="s">
        <v>21</v>
      </c>
      <c r="C95" s="446" t="s">
        <v>90</v>
      </c>
      <c r="D95" s="446">
        <v>17378</v>
      </c>
      <c r="E95" s="446">
        <v>2.5</v>
      </c>
      <c r="F95" s="446">
        <v>0</v>
      </c>
      <c r="G95" s="446">
        <v>2.5</v>
      </c>
      <c r="H95" s="446">
        <v>35.5</v>
      </c>
      <c r="I95" s="446">
        <v>5</v>
      </c>
      <c r="J95" s="446">
        <v>2</v>
      </c>
      <c r="K95" s="446">
        <v>2</v>
      </c>
      <c r="L95" s="446">
        <v>3</v>
      </c>
      <c r="M95" s="446">
        <v>2</v>
      </c>
      <c r="N95" s="446">
        <v>0</v>
      </c>
      <c r="O95" s="446">
        <v>4</v>
      </c>
      <c r="P95" s="446">
        <v>2</v>
      </c>
      <c r="Q95" s="446">
        <v>2.5</v>
      </c>
      <c r="R95" s="446">
        <v>0</v>
      </c>
      <c r="S95" s="446">
        <v>0</v>
      </c>
      <c r="T95" s="447">
        <v>1398</v>
      </c>
      <c r="U95" s="446">
        <v>1712</v>
      </c>
      <c r="V95" s="446"/>
    </row>
    <row r="96" spans="1:22" ht="25.5" customHeight="1">
      <c r="A96" s="445">
        <v>46268</v>
      </c>
      <c r="B96" s="446" t="s">
        <v>21</v>
      </c>
      <c r="C96" s="446" t="s">
        <v>109</v>
      </c>
      <c r="D96" s="446">
        <v>0</v>
      </c>
      <c r="E96" s="446">
        <v>0</v>
      </c>
      <c r="F96" s="446">
        <v>0</v>
      </c>
      <c r="G96" s="446">
        <v>0</v>
      </c>
      <c r="H96" s="446">
        <v>0</v>
      </c>
      <c r="I96" s="446">
        <v>0</v>
      </c>
      <c r="J96" s="446">
        <v>0</v>
      </c>
      <c r="K96" s="446">
        <v>0</v>
      </c>
      <c r="L96" s="446">
        <v>0</v>
      </c>
      <c r="M96" s="446">
        <v>0</v>
      </c>
      <c r="N96" s="446">
        <v>0</v>
      </c>
      <c r="O96" s="446">
        <v>0</v>
      </c>
      <c r="P96" s="446">
        <v>0</v>
      </c>
      <c r="Q96" s="446">
        <v>0</v>
      </c>
      <c r="R96" s="446">
        <v>0</v>
      </c>
      <c r="S96" s="446">
        <v>0</v>
      </c>
      <c r="T96" s="447">
        <v>0</v>
      </c>
      <c r="U96" s="446">
        <v>0</v>
      </c>
      <c r="V96" s="446"/>
    </row>
    <row r="97" spans="1:22" ht="25.5" customHeight="1">
      <c r="A97" s="445">
        <v>46268</v>
      </c>
      <c r="B97" s="446" t="s">
        <v>21</v>
      </c>
      <c r="C97" s="446" t="s">
        <v>103</v>
      </c>
      <c r="D97" s="446">
        <v>3550.2</v>
      </c>
      <c r="E97" s="446">
        <v>0</v>
      </c>
      <c r="F97" s="446">
        <v>0</v>
      </c>
      <c r="G97" s="446">
        <v>0</v>
      </c>
      <c r="H97" s="446">
        <v>16.2</v>
      </c>
      <c r="I97" s="446">
        <v>3</v>
      </c>
      <c r="J97" s="446">
        <v>2</v>
      </c>
      <c r="K97" s="446">
        <v>0</v>
      </c>
      <c r="L97" s="446">
        <v>1</v>
      </c>
      <c r="M97" s="446">
        <v>0</v>
      </c>
      <c r="N97" s="446">
        <v>3</v>
      </c>
      <c r="O97" s="446">
        <v>2</v>
      </c>
      <c r="P97" s="446">
        <v>1</v>
      </c>
      <c r="Q97" s="446">
        <v>0</v>
      </c>
      <c r="R97" s="446">
        <v>0</v>
      </c>
      <c r="S97" s="446">
        <v>0</v>
      </c>
      <c r="T97" s="447">
        <v>0</v>
      </c>
      <c r="U97" s="446">
        <v>0</v>
      </c>
      <c r="V97" s="446"/>
    </row>
    <row r="98" spans="1:22" ht="25.5" customHeight="1">
      <c r="A98" s="445">
        <v>46268</v>
      </c>
      <c r="B98" s="446" t="s">
        <v>21</v>
      </c>
      <c r="C98" s="446" t="s">
        <v>112</v>
      </c>
      <c r="D98" s="446">
        <v>6039</v>
      </c>
      <c r="E98" s="446">
        <v>0</v>
      </c>
      <c r="F98" s="446">
        <v>0</v>
      </c>
      <c r="G98" s="446">
        <v>0</v>
      </c>
      <c r="H98" s="446">
        <v>20</v>
      </c>
      <c r="I98" s="446">
        <v>3</v>
      </c>
      <c r="J98" s="446">
        <v>1</v>
      </c>
      <c r="K98" s="446">
        <v>2</v>
      </c>
      <c r="L98" s="446">
        <v>2</v>
      </c>
      <c r="M98" s="446">
        <v>1</v>
      </c>
      <c r="N98" s="446">
        <v>0</v>
      </c>
      <c r="O98" s="446">
        <v>2</v>
      </c>
      <c r="P98" s="446">
        <v>1</v>
      </c>
      <c r="Q98" s="446">
        <v>0</v>
      </c>
      <c r="R98" s="446">
        <v>0</v>
      </c>
      <c r="S98" s="446">
        <v>0</v>
      </c>
      <c r="T98" s="447">
        <v>0</v>
      </c>
      <c r="U98" s="446">
        <v>360</v>
      </c>
      <c r="V98" s="446"/>
    </row>
    <row r="99" spans="1:22" ht="25.5" customHeight="1">
      <c r="A99" s="445">
        <v>46269</v>
      </c>
      <c r="B99" s="446" t="s">
        <v>17</v>
      </c>
      <c r="C99" s="446" t="s">
        <v>96</v>
      </c>
      <c r="D99" s="446">
        <v>0</v>
      </c>
      <c r="E99" s="446">
        <v>0</v>
      </c>
      <c r="F99" s="446">
        <v>0</v>
      </c>
      <c r="G99" s="446">
        <v>0</v>
      </c>
      <c r="H99" s="446">
        <v>0</v>
      </c>
      <c r="I99" s="446">
        <v>0</v>
      </c>
      <c r="J99" s="446">
        <v>0</v>
      </c>
      <c r="K99" s="446">
        <v>0</v>
      </c>
      <c r="L99" s="446">
        <v>0</v>
      </c>
      <c r="M99" s="446">
        <v>0</v>
      </c>
      <c r="N99" s="446">
        <v>0</v>
      </c>
      <c r="O99" s="446">
        <v>0</v>
      </c>
      <c r="P99" s="446">
        <v>0</v>
      </c>
      <c r="Q99" s="446">
        <v>0</v>
      </c>
      <c r="R99" s="446">
        <v>0</v>
      </c>
      <c r="S99" s="446">
        <v>0</v>
      </c>
      <c r="T99" s="447">
        <v>0</v>
      </c>
      <c r="U99" s="446">
        <v>0</v>
      </c>
      <c r="V99" s="446"/>
    </row>
    <row r="100" spans="1:22" ht="25.5" customHeight="1">
      <c r="A100" s="445">
        <v>46269</v>
      </c>
      <c r="B100" s="446" t="s">
        <v>17</v>
      </c>
      <c r="C100" s="446" t="s">
        <v>108</v>
      </c>
      <c r="D100" s="446">
        <v>8770</v>
      </c>
      <c r="E100" s="446">
        <v>3.5</v>
      </c>
      <c r="F100" s="446">
        <v>0</v>
      </c>
      <c r="G100" s="446">
        <v>3.5</v>
      </c>
      <c r="H100" s="446">
        <v>22</v>
      </c>
      <c r="I100" s="446">
        <v>3</v>
      </c>
      <c r="J100" s="446">
        <v>1</v>
      </c>
      <c r="K100" s="446">
        <v>1</v>
      </c>
      <c r="L100" s="446">
        <v>2</v>
      </c>
      <c r="M100" s="446">
        <v>2</v>
      </c>
      <c r="N100" s="446">
        <v>1</v>
      </c>
      <c r="O100" s="446">
        <v>2</v>
      </c>
      <c r="P100" s="446">
        <v>1</v>
      </c>
      <c r="Q100" s="446">
        <v>0</v>
      </c>
      <c r="R100" s="446">
        <v>0</v>
      </c>
      <c r="S100" s="446">
        <v>0</v>
      </c>
      <c r="T100" s="447">
        <v>0</v>
      </c>
      <c r="U100" s="446">
        <v>1130</v>
      </c>
      <c r="V100" s="446"/>
    </row>
    <row r="101" spans="1:22" ht="25.5" customHeight="1">
      <c r="A101" s="445">
        <v>46269</v>
      </c>
      <c r="B101" s="446" t="s">
        <v>17</v>
      </c>
      <c r="C101" s="446" t="s">
        <v>101</v>
      </c>
      <c r="D101" s="446">
        <v>5475.2</v>
      </c>
      <c r="E101" s="446">
        <v>0</v>
      </c>
      <c r="F101" s="446">
        <v>0</v>
      </c>
      <c r="G101" s="446">
        <v>0</v>
      </c>
      <c r="H101" s="446">
        <v>13.5</v>
      </c>
      <c r="I101" s="446">
        <v>1</v>
      </c>
      <c r="J101" s="446">
        <v>1</v>
      </c>
      <c r="K101" s="446">
        <v>2</v>
      </c>
      <c r="L101" s="446">
        <v>1</v>
      </c>
      <c r="M101" s="446">
        <v>1</v>
      </c>
      <c r="N101" s="446">
        <v>0</v>
      </c>
      <c r="O101" s="446">
        <v>3</v>
      </c>
      <c r="P101" s="446">
        <v>1.5</v>
      </c>
      <c r="Q101" s="446">
        <v>0</v>
      </c>
      <c r="R101" s="446">
        <v>0</v>
      </c>
      <c r="S101" s="446">
        <v>0</v>
      </c>
      <c r="T101" s="447">
        <v>0</v>
      </c>
      <c r="U101" s="446">
        <v>457.36</v>
      </c>
      <c r="V101" s="446"/>
    </row>
    <row r="102" spans="1:22" ht="25.5" customHeight="1">
      <c r="A102" s="445">
        <v>46269</v>
      </c>
      <c r="B102" s="446" t="s">
        <v>17</v>
      </c>
      <c r="C102" s="446" t="s">
        <v>106</v>
      </c>
      <c r="D102" s="446">
        <v>1083</v>
      </c>
      <c r="E102" s="446">
        <v>0</v>
      </c>
      <c r="F102" s="446">
        <v>0</v>
      </c>
      <c r="G102" s="446">
        <v>0</v>
      </c>
      <c r="H102" s="446">
        <v>3.5</v>
      </c>
      <c r="I102" s="446">
        <v>0</v>
      </c>
      <c r="J102" s="446">
        <v>0</v>
      </c>
      <c r="K102" s="446">
        <v>0</v>
      </c>
      <c r="L102" s="446">
        <v>1</v>
      </c>
      <c r="M102" s="446">
        <v>0</v>
      </c>
      <c r="N102" s="446">
        <v>1</v>
      </c>
      <c r="O102" s="446">
        <v>1</v>
      </c>
      <c r="P102" s="446">
        <v>0</v>
      </c>
      <c r="Q102" s="446">
        <v>0</v>
      </c>
      <c r="R102" s="446">
        <v>0</v>
      </c>
      <c r="S102" s="446">
        <v>0</v>
      </c>
      <c r="T102" s="447">
        <v>0</v>
      </c>
      <c r="U102" s="446">
        <v>637</v>
      </c>
      <c r="V102" s="446"/>
    </row>
    <row r="103" spans="1:22" ht="25.5" customHeight="1">
      <c r="A103" s="445">
        <v>46269</v>
      </c>
      <c r="B103" s="446" t="s">
        <v>22</v>
      </c>
      <c r="C103" s="446" t="s">
        <v>23</v>
      </c>
      <c r="D103" s="446">
        <v>3100</v>
      </c>
      <c r="E103" s="446">
        <v>0</v>
      </c>
      <c r="F103" s="446">
        <v>0</v>
      </c>
      <c r="G103" s="446">
        <v>0</v>
      </c>
      <c r="H103" s="446">
        <v>21</v>
      </c>
      <c r="I103" s="446">
        <v>3</v>
      </c>
      <c r="J103" s="446">
        <v>1</v>
      </c>
      <c r="K103" s="446">
        <v>0</v>
      </c>
      <c r="L103" s="446">
        <v>3</v>
      </c>
      <c r="M103" s="446">
        <v>1</v>
      </c>
      <c r="N103" s="446">
        <v>0</v>
      </c>
      <c r="O103" s="446">
        <v>2</v>
      </c>
      <c r="P103" s="446">
        <v>1</v>
      </c>
      <c r="Q103" s="446">
        <v>0</v>
      </c>
      <c r="R103" s="446">
        <v>0</v>
      </c>
      <c r="S103" s="446">
        <v>0</v>
      </c>
      <c r="T103" s="447">
        <v>0</v>
      </c>
      <c r="U103" s="446">
        <v>0</v>
      </c>
      <c r="V103" s="446">
        <v>1</v>
      </c>
    </row>
    <row r="104" spans="1:22" ht="25.5" customHeight="1">
      <c r="A104" s="445">
        <v>46269</v>
      </c>
      <c r="B104" s="446" t="s">
        <v>18</v>
      </c>
      <c r="C104" s="446" t="s">
        <v>97</v>
      </c>
      <c r="D104" s="446">
        <v>0</v>
      </c>
      <c r="E104" s="446">
        <v>0</v>
      </c>
      <c r="F104" s="446">
        <v>0</v>
      </c>
      <c r="G104" s="446">
        <v>0</v>
      </c>
      <c r="H104" s="446">
        <v>0</v>
      </c>
      <c r="I104" s="446">
        <v>0</v>
      </c>
      <c r="J104" s="446">
        <v>0</v>
      </c>
      <c r="K104" s="446">
        <v>0</v>
      </c>
      <c r="L104" s="446">
        <v>0</v>
      </c>
      <c r="M104" s="446">
        <v>0</v>
      </c>
      <c r="N104" s="446">
        <v>0</v>
      </c>
      <c r="O104" s="446">
        <v>0</v>
      </c>
      <c r="P104" s="446">
        <v>0</v>
      </c>
      <c r="Q104" s="446">
        <v>0</v>
      </c>
      <c r="R104" s="446">
        <v>0</v>
      </c>
      <c r="S104" s="446">
        <v>0</v>
      </c>
      <c r="T104" s="447">
        <v>0</v>
      </c>
      <c r="U104" s="446">
        <v>0</v>
      </c>
      <c r="V104" s="446"/>
    </row>
    <row r="105" spans="1:22" ht="25.5" customHeight="1">
      <c r="A105" s="445">
        <v>46269</v>
      </c>
      <c r="B105" s="446" t="s">
        <v>18</v>
      </c>
      <c r="C105" s="446" t="s">
        <v>98</v>
      </c>
      <c r="D105" s="446">
        <v>3144</v>
      </c>
      <c r="E105" s="446">
        <v>6.5</v>
      </c>
      <c r="F105" s="446">
        <v>1</v>
      </c>
      <c r="G105" s="446">
        <v>6.5</v>
      </c>
      <c r="H105" s="446">
        <v>6.5</v>
      </c>
      <c r="I105" s="446">
        <v>1</v>
      </c>
      <c r="J105" s="446">
        <v>0</v>
      </c>
      <c r="K105" s="446">
        <v>0</v>
      </c>
      <c r="L105" s="446">
        <v>1</v>
      </c>
      <c r="M105" s="446">
        <v>0</v>
      </c>
      <c r="N105" s="446">
        <v>3</v>
      </c>
      <c r="O105" s="446">
        <v>2</v>
      </c>
      <c r="P105" s="446">
        <v>1</v>
      </c>
      <c r="Q105" s="446">
        <v>0</v>
      </c>
      <c r="R105" s="446">
        <v>0</v>
      </c>
      <c r="S105" s="446">
        <v>0</v>
      </c>
      <c r="T105" s="447">
        <v>0</v>
      </c>
      <c r="U105" s="446">
        <v>0</v>
      </c>
      <c r="V105" s="446"/>
    </row>
    <row r="106" spans="1:22" ht="25.5" customHeight="1">
      <c r="A106" s="445">
        <v>46269</v>
      </c>
      <c r="B106" s="446" t="s">
        <v>18</v>
      </c>
      <c r="C106" s="446" t="s">
        <v>110</v>
      </c>
      <c r="D106" s="446">
        <v>5190</v>
      </c>
      <c r="E106" s="446">
        <v>7.5</v>
      </c>
      <c r="F106" s="446">
        <v>1</v>
      </c>
      <c r="G106" s="446">
        <v>7.5</v>
      </c>
      <c r="H106" s="446">
        <v>2.25</v>
      </c>
      <c r="I106" s="446">
        <v>1</v>
      </c>
      <c r="J106" s="446">
        <v>0</v>
      </c>
      <c r="K106" s="446">
        <v>0</v>
      </c>
      <c r="L106" s="446">
        <v>0</v>
      </c>
      <c r="M106" s="446">
        <v>0</v>
      </c>
      <c r="N106" s="446">
        <v>2</v>
      </c>
      <c r="O106" s="446">
        <v>1</v>
      </c>
      <c r="P106" s="446">
        <v>0</v>
      </c>
      <c r="Q106" s="446">
        <v>0</v>
      </c>
      <c r="R106" s="446">
        <v>0</v>
      </c>
      <c r="S106" s="446">
        <v>0</v>
      </c>
      <c r="T106" s="447">
        <v>0</v>
      </c>
      <c r="U106" s="446">
        <v>0</v>
      </c>
      <c r="V106" s="446"/>
    </row>
    <row r="107" spans="1:22" ht="25.5" customHeight="1">
      <c r="A107" s="445">
        <v>46269</v>
      </c>
      <c r="B107" s="446" t="s">
        <v>19</v>
      </c>
      <c r="C107" s="446" t="s">
        <v>99</v>
      </c>
      <c r="D107" s="446">
        <v>7620</v>
      </c>
      <c r="E107" s="446">
        <v>0</v>
      </c>
      <c r="F107" s="446">
        <v>0</v>
      </c>
      <c r="G107" s="446">
        <v>0</v>
      </c>
      <c r="H107" s="446">
        <v>22.75</v>
      </c>
      <c r="I107" s="446">
        <v>5</v>
      </c>
      <c r="J107" s="446">
        <v>1</v>
      </c>
      <c r="K107" s="446">
        <v>3</v>
      </c>
      <c r="L107" s="446">
        <v>2</v>
      </c>
      <c r="M107" s="446">
        <v>1</v>
      </c>
      <c r="N107" s="446">
        <v>1</v>
      </c>
      <c r="O107" s="446">
        <v>3</v>
      </c>
      <c r="P107" s="446">
        <v>0</v>
      </c>
      <c r="Q107" s="446">
        <v>0</v>
      </c>
      <c r="R107" s="446">
        <v>0</v>
      </c>
      <c r="S107" s="446">
        <v>0</v>
      </c>
      <c r="T107" s="447">
        <v>0</v>
      </c>
      <c r="U107" s="446">
        <v>0</v>
      </c>
      <c r="V107" s="446"/>
    </row>
    <row r="108" spans="1:22" ht="25.5" customHeight="1">
      <c r="A108" s="445">
        <v>46269</v>
      </c>
      <c r="B108" s="446" t="s">
        <v>19</v>
      </c>
      <c r="C108" s="446" t="s">
        <v>88</v>
      </c>
      <c r="D108" s="446">
        <v>6681.2</v>
      </c>
      <c r="E108" s="446">
        <v>4.5</v>
      </c>
      <c r="F108" s="446">
        <v>0</v>
      </c>
      <c r="G108" s="446">
        <v>4.5</v>
      </c>
      <c r="H108" s="446">
        <v>11</v>
      </c>
      <c r="I108" s="446">
        <v>2</v>
      </c>
      <c r="J108" s="446">
        <v>0</v>
      </c>
      <c r="K108" s="446">
        <v>1</v>
      </c>
      <c r="L108" s="446">
        <v>1</v>
      </c>
      <c r="M108" s="446">
        <v>0</v>
      </c>
      <c r="N108" s="446">
        <v>2</v>
      </c>
      <c r="O108" s="446">
        <v>2</v>
      </c>
      <c r="P108" s="446">
        <v>0</v>
      </c>
      <c r="Q108" s="446">
        <v>0</v>
      </c>
      <c r="R108" s="446">
        <v>0</v>
      </c>
      <c r="S108" s="446">
        <v>0</v>
      </c>
      <c r="T108" s="447">
        <v>0</v>
      </c>
      <c r="U108" s="446">
        <v>658</v>
      </c>
      <c r="V108" s="446"/>
    </row>
    <row r="109" spans="1:22" ht="25.5" customHeight="1">
      <c r="A109" s="445">
        <v>46269</v>
      </c>
      <c r="B109" s="446" t="s">
        <v>19</v>
      </c>
      <c r="C109" s="446" t="s">
        <v>107</v>
      </c>
      <c r="D109" s="446">
        <v>0</v>
      </c>
      <c r="E109" s="446">
        <v>0</v>
      </c>
      <c r="F109" s="446">
        <v>0</v>
      </c>
      <c r="G109" s="446">
        <v>0</v>
      </c>
      <c r="H109" s="446">
        <v>0</v>
      </c>
      <c r="I109" s="446">
        <v>0</v>
      </c>
      <c r="J109" s="446">
        <v>0</v>
      </c>
      <c r="K109" s="446">
        <v>0</v>
      </c>
      <c r="L109" s="446">
        <v>0</v>
      </c>
      <c r="M109" s="446">
        <v>0</v>
      </c>
      <c r="N109" s="446">
        <v>0</v>
      </c>
      <c r="O109" s="446">
        <v>0</v>
      </c>
      <c r="P109" s="446">
        <v>0</v>
      </c>
      <c r="Q109" s="446">
        <v>0</v>
      </c>
      <c r="R109" s="446">
        <v>0</v>
      </c>
      <c r="S109" s="446">
        <v>0</v>
      </c>
      <c r="T109" s="447">
        <v>0</v>
      </c>
      <c r="U109" s="446">
        <v>0</v>
      </c>
      <c r="V109" s="446"/>
    </row>
    <row r="110" spans="1:22" ht="25.5" customHeight="1">
      <c r="A110" s="445">
        <v>46269</v>
      </c>
      <c r="B110" s="446" t="s">
        <v>20</v>
      </c>
      <c r="C110" s="446" t="s">
        <v>93</v>
      </c>
      <c r="D110" s="446">
        <v>7243</v>
      </c>
      <c r="E110" s="446">
        <v>0</v>
      </c>
      <c r="F110" s="446">
        <v>0</v>
      </c>
      <c r="G110" s="446">
        <v>0</v>
      </c>
      <c r="H110" s="446">
        <v>21.2</v>
      </c>
      <c r="I110" s="446">
        <v>3</v>
      </c>
      <c r="J110" s="446">
        <v>2</v>
      </c>
      <c r="K110" s="446">
        <v>0</v>
      </c>
      <c r="L110" s="446">
        <v>2</v>
      </c>
      <c r="M110" s="446">
        <v>2</v>
      </c>
      <c r="N110" s="446">
        <v>0</v>
      </c>
      <c r="O110" s="446">
        <v>2</v>
      </c>
      <c r="P110" s="446">
        <v>0</v>
      </c>
      <c r="Q110" s="446">
        <v>0</v>
      </c>
      <c r="R110" s="446">
        <v>0</v>
      </c>
      <c r="S110" s="446">
        <v>0</v>
      </c>
      <c r="T110" s="447">
        <v>0</v>
      </c>
      <c r="U110" s="446">
        <v>497.36</v>
      </c>
      <c r="V110" s="446"/>
    </row>
    <row r="111" spans="1:22" ht="25.5" customHeight="1">
      <c r="A111" s="445">
        <v>46269</v>
      </c>
      <c r="B111" s="446" t="s">
        <v>20</v>
      </c>
      <c r="C111" s="446" t="s">
        <v>105</v>
      </c>
      <c r="D111" s="446">
        <v>0</v>
      </c>
      <c r="E111" s="446">
        <v>0</v>
      </c>
      <c r="F111" s="446">
        <v>0</v>
      </c>
      <c r="G111" s="446">
        <v>0</v>
      </c>
      <c r="H111" s="446">
        <v>0</v>
      </c>
      <c r="I111" s="446">
        <v>0</v>
      </c>
      <c r="J111" s="446">
        <v>0</v>
      </c>
      <c r="K111" s="446">
        <v>0</v>
      </c>
      <c r="L111" s="446">
        <v>0</v>
      </c>
      <c r="M111" s="446">
        <v>0</v>
      </c>
      <c r="N111" s="446">
        <v>0</v>
      </c>
      <c r="O111" s="446">
        <v>0</v>
      </c>
      <c r="P111" s="446">
        <v>0</v>
      </c>
      <c r="Q111" s="446">
        <v>0</v>
      </c>
      <c r="R111" s="446">
        <v>0</v>
      </c>
      <c r="S111" s="446">
        <v>0</v>
      </c>
      <c r="T111" s="447">
        <v>0</v>
      </c>
      <c r="U111" s="446">
        <v>0</v>
      </c>
      <c r="V111" s="446"/>
    </row>
    <row r="112" spans="1:22" ht="25.5" customHeight="1">
      <c r="A112" s="445">
        <v>46269</v>
      </c>
      <c r="B112" s="446" t="s">
        <v>20</v>
      </c>
      <c r="C112" s="446" t="s">
        <v>102</v>
      </c>
      <c r="D112" s="446">
        <v>0</v>
      </c>
      <c r="E112" s="446">
        <v>0</v>
      </c>
      <c r="F112" s="446">
        <v>0</v>
      </c>
      <c r="G112" s="446">
        <v>0</v>
      </c>
      <c r="H112" s="446">
        <v>0</v>
      </c>
      <c r="I112" s="446">
        <v>0</v>
      </c>
      <c r="J112" s="446">
        <v>0</v>
      </c>
      <c r="K112" s="446">
        <v>0</v>
      </c>
      <c r="L112" s="446">
        <v>0</v>
      </c>
      <c r="M112" s="446">
        <v>0</v>
      </c>
      <c r="N112" s="446">
        <v>0</v>
      </c>
      <c r="O112" s="446">
        <v>0</v>
      </c>
      <c r="P112" s="446">
        <v>0</v>
      </c>
      <c r="Q112" s="446">
        <v>0</v>
      </c>
      <c r="R112" s="446">
        <v>0</v>
      </c>
      <c r="S112" s="446">
        <v>0</v>
      </c>
      <c r="T112" s="447">
        <v>0</v>
      </c>
      <c r="U112" s="446">
        <v>0</v>
      </c>
      <c r="V112" s="446"/>
    </row>
    <row r="113" spans="1:22" ht="25.5" customHeight="1">
      <c r="A113" s="445">
        <v>46269</v>
      </c>
      <c r="B113" s="446" t="s">
        <v>20</v>
      </c>
      <c r="C113" s="446" t="s">
        <v>111</v>
      </c>
      <c r="D113" s="446">
        <v>950</v>
      </c>
      <c r="E113" s="446">
        <v>3</v>
      </c>
      <c r="F113" s="446">
        <v>0</v>
      </c>
      <c r="G113" s="446">
        <v>0</v>
      </c>
      <c r="H113" s="446">
        <v>3.5</v>
      </c>
      <c r="I113" s="446">
        <v>1</v>
      </c>
      <c r="J113" s="446">
        <v>0</v>
      </c>
      <c r="K113" s="446">
        <v>1</v>
      </c>
      <c r="L113" s="446">
        <v>0</v>
      </c>
      <c r="M113" s="446">
        <v>0</v>
      </c>
      <c r="N113" s="446">
        <v>0</v>
      </c>
      <c r="O113" s="446">
        <v>0</v>
      </c>
      <c r="P113" s="446">
        <v>0</v>
      </c>
      <c r="Q113" s="446">
        <v>0</v>
      </c>
      <c r="R113" s="446">
        <v>0</v>
      </c>
      <c r="S113" s="446">
        <v>0</v>
      </c>
      <c r="T113" s="447">
        <v>0</v>
      </c>
      <c r="U113" s="446">
        <v>0</v>
      </c>
      <c r="V113" s="446"/>
    </row>
    <row r="114" spans="1:22" ht="25.5" customHeight="1">
      <c r="A114" s="445">
        <v>46269</v>
      </c>
      <c r="B114" s="446" t="s">
        <v>21</v>
      </c>
      <c r="C114" s="446" t="s">
        <v>90</v>
      </c>
      <c r="D114" s="446">
        <v>8193</v>
      </c>
      <c r="E114" s="446">
        <v>2.5</v>
      </c>
      <c r="F114" s="446">
        <v>0</v>
      </c>
      <c r="G114" s="446">
        <v>2.5</v>
      </c>
      <c r="H114" s="446">
        <v>17.5</v>
      </c>
      <c r="I114" s="446">
        <v>4</v>
      </c>
      <c r="J114" s="446">
        <v>3</v>
      </c>
      <c r="K114" s="446">
        <v>0</v>
      </c>
      <c r="L114" s="446">
        <v>1</v>
      </c>
      <c r="M114" s="446">
        <v>0</v>
      </c>
      <c r="N114" s="446">
        <v>1</v>
      </c>
      <c r="O114" s="446">
        <v>3</v>
      </c>
      <c r="P114" s="446">
        <v>3</v>
      </c>
      <c r="Q114" s="446">
        <v>0</v>
      </c>
      <c r="R114" s="446">
        <v>0</v>
      </c>
      <c r="S114" s="446">
        <v>0</v>
      </c>
      <c r="T114" s="447">
        <v>0</v>
      </c>
      <c r="U114" s="446">
        <v>147</v>
      </c>
      <c r="V114" s="446"/>
    </row>
    <row r="115" spans="1:22" ht="25.5" customHeight="1">
      <c r="A115" s="445">
        <v>46269</v>
      </c>
      <c r="B115" s="446" t="s">
        <v>21</v>
      </c>
      <c r="C115" s="446" t="s">
        <v>109</v>
      </c>
      <c r="D115" s="446">
        <v>0</v>
      </c>
      <c r="E115" s="446">
        <v>0</v>
      </c>
      <c r="F115" s="446">
        <v>0</v>
      </c>
      <c r="G115" s="446">
        <v>0</v>
      </c>
      <c r="H115" s="446">
        <v>0</v>
      </c>
      <c r="I115" s="446">
        <v>0</v>
      </c>
      <c r="J115" s="446">
        <v>0</v>
      </c>
      <c r="K115" s="446">
        <v>0</v>
      </c>
      <c r="L115" s="446">
        <v>0</v>
      </c>
      <c r="M115" s="446">
        <v>0</v>
      </c>
      <c r="N115" s="446">
        <v>0</v>
      </c>
      <c r="O115" s="446">
        <v>0</v>
      </c>
      <c r="P115" s="446">
        <v>0</v>
      </c>
      <c r="Q115" s="446">
        <v>0</v>
      </c>
      <c r="R115" s="446">
        <v>0</v>
      </c>
      <c r="S115" s="446">
        <v>0</v>
      </c>
      <c r="T115" s="447">
        <v>0</v>
      </c>
      <c r="U115" s="446">
        <v>0</v>
      </c>
      <c r="V115" s="446"/>
    </row>
    <row r="116" spans="1:22" ht="25.5" customHeight="1">
      <c r="A116" s="445">
        <v>46269</v>
      </c>
      <c r="B116" s="446" t="s">
        <v>21</v>
      </c>
      <c r="C116" s="446" t="s">
        <v>103</v>
      </c>
      <c r="D116" s="446">
        <v>6010</v>
      </c>
      <c r="E116" s="446">
        <v>0</v>
      </c>
      <c r="F116" s="446">
        <v>0</v>
      </c>
      <c r="G116" s="446">
        <v>0</v>
      </c>
      <c r="H116" s="446">
        <v>12.5</v>
      </c>
      <c r="I116" s="446">
        <v>1</v>
      </c>
      <c r="J116" s="446">
        <v>1</v>
      </c>
      <c r="K116" s="446">
        <v>0</v>
      </c>
      <c r="L116" s="446">
        <v>1</v>
      </c>
      <c r="M116" s="446">
        <v>1</v>
      </c>
      <c r="N116" s="446">
        <v>0</v>
      </c>
      <c r="O116" s="446">
        <v>1</v>
      </c>
      <c r="P116" s="446">
        <v>0</v>
      </c>
      <c r="Q116" s="446">
        <v>1.5</v>
      </c>
      <c r="R116" s="446">
        <v>0</v>
      </c>
      <c r="S116" s="446">
        <v>0</v>
      </c>
      <c r="T116" s="447">
        <v>669</v>
      </c>
      <c r="U116" s="446">
        <v>800</v>
      </c>
      <c r="V116" s="446"/>
    </row>
    <row r="117" spans="1:22" ht="25.5" customHeight="1">
      <c r="A117" s="445">
        <v>46269</v>
      </c>
      <c r="B117" s="446" t="s">
        <v>21</v>
      </c>
      <c r="C117" s="446" t="s">
        <v>112</v>
      </c>
      <c r="D117" s="446">
        <v>4070</v>
      </c>
      <c r="E117" s="446">
        <v>0</v>
      </c>
      <c r="F117" s="446">
        <v>0</v>
      </c>
      <c r="G117" s="446">
        <v>0</v>
      </c>
      <c r="H117" s="446">
        <v>10.5</v>
      </c>
      <c r="I117" s="446">
        <v>2</v>
      </c>
      <c r="J117" s="446">
        <v>2</v>
      </c>
      <c r="K117" s="446">
        <v>1</v>
      </c>
      <c r="L117" s="446">
        <v>0</v>
      </c>
      <c r="M117" s="446">
        <v>0</v>
      </c>
      <c r="N117" s="446">
        <v>0</v>
      </c>
      <c r="O117" s="446">
        <v>1</v>
      </c>
      <c r="P117" s="446">
        <v>1</v>
      </c>
      <c r="Q117" s="446">
        <v>0</v>
      </c>
      <c r="R117" s="446">
        <v>0</v>
      </c>
      <c r="S117" s="446">
        <v>0</v>
      </c>
      <c r="T117" s="447">
        <v>0</v>
      </c>
      <c r="U117" s="446">
        <v>830</v>
      </c>
      <c r="V117" s="446"/>
    </row>
    <row r="118" spans="1:22" ht="25.5" customHeight="1">
      <c r="A118" s="445">
        <v>46270</v>
      </c>
      <c r="B118" s="446" t="s">
        <v>17</v>
      </c>
      <c r="C118" s="449" t="s">
        <v>96</v>
      </c>
      <c r="D118" s="446">
        <v>11574</v>
      </c>
      <c r="E118" s="446">
        <v>8.5</v>
      </c>
      <c r="F118" s="446">
        <v>1</v>
      </c>
      <c r="G118" s="446">
        <v>8.5</v>
      </c>
      <c r="H118" s="446">
        <v>20.5</v>
      </c>
      <c r="I118" s="446">
        <v>3</v>
      </c>
      <c r="J118" s="446">
        <v>2</v>
      </c>
      <c r="K118" s="446">
        <v>3</v>
      </c>
      <c r="L118" s="446">
        <v>2</v>
      </c>
      <c r="M118" s="446">
        <v>0</v>
      </c>
      <c r="N118" s="446">
        <v>2</v>
      </c>
      <c r="O118" s="446">
        <v>3</v>
      </c>
      <c r="P118" s="446">
        <v>1</v>
      </c>
      <c r="Q118" s="446">
        <v>0</v>
      </c>
      <c r="R118" s="446">
        <v>0</v>
      </c>
      <c r="S118" s="446">
        <v>0</v>
      </c>
      <c r="T118" s="447">
        <v>0</v>
      </c>
      <c r="U118" s="446">
        <v>235</v>
      </c>
      <c r="V118" s="446"/>
    </row>
    <row r="119" spans="1:22" ht="25.5" customHeight="1">
      <c r="A119" s="445">
        <v>46270</v>
      </c>
      <c r="B119" s="446" t="s">
        <v>17</v>
      </c>
      <c r="C119" s="449" t="s">
        <v>108</v>
      </c>
      <c r="D119" s="446">
        <v>0</v>
      </c>
      <c r="E119" s="446">
        <v>0</v>
      </c>
      <c r="F119" s="446">
        <v>0</v>
      </c>
      <c r="G119" s="446">
        <v>0</v>
      </c>
      <c r="H119" s="446">
        <v>0</v>
      </c>
      <c r="I119" s="446">
        <v>0</v>
      </c>
      <c r="J119" s="446">
        <v>0</v>
      </c>
      <c r="K119" s="446">
        <v>0</v>
      </c>
      <c r="L119" s="446">
        <v>0</v>
      </c>
      <c r="M119" s="446">
        <v>0</v>
      </c>
      <c r="N119" s="446">
        <v>0</v>
      </c>
      <c r="O119" s="446">
        <v>0</v>
      </c>
      <c r="P119" s="446">
        <v>0</v>
      </c>
      <c r="Q119" s="446">
        <v>0</v>
      </c>
      <c r="R119" s="446">
        <v>0</v>
      </c>
      <c r="S119" s="446">
        <v>0</v>
      </c>
      <c r="T119" s="447">
        <v>0</v>
      </c>
      <c r="U119" s="446">
        <v>0</v>
      </c>
      <c r="V119" s="446"/>
    </row>
    <row r="120" spans="1:22" ht="25.5" customHeight="1">
      <c r="A120" s="445">
        <v>46270</v>
      </c>
      <c r="B120" s="446" t="s">
        <v>17</v>
      </c>
      <c r="C120" s="449" t="s">
        <v>101</v>
      </c>
      <c r="D120" s="446">
        <v>450</v>
      </c>
      <c r="E120" s="446">
        <v>3</v>
      </c>
      <c r="F120" s="446">
        <v>0</v>
      </c>
      <c r="G120" s="446">
        <v>3</v>
      </c>
      <c r="H120" s="446">
        <v>0</v>
      </c>
      <c r="I120" s="446">
        <v>0</v>
      </c>
      <c r="J120" s="446">
        <v>0</v>
      </c>
      <c r="K120" s="446">
        <v>0</v>
      </c>
      <c r="L120" s="446">
        <v>0</v>
      </c>
      <c r="M120" s="446">
        <v>0</v>
      </c>
      <c r="N120" s="446">
        <v>1</v>
      </c>
      <c r="O120" s="446">
        <v>1</v>
      </c>
      <c r="P120" s="446">
        <v>1.5</v>
      </c>
      <c r="Q120" s="446">
        <v>0</v>
      </c>
      <c r="R120" s="446">
        <v>0</v>
      </c>
      <c r="S120" s="446">
        <v>0</v>
      </c>
      <c r="T120" s="447">
        <v>0</v>
      </c>
      <c r="U120" s="446">
        <v>0</v>
      </c>
      <c r="V120" s="446"/>
    </row>
    <row r="121" spans="1:22" ht="25.5" customHeight="1">
      <c r="A121" s="445">
        <v>46270</v>
      </c>
      <c r="B121" s="446" t="s">
        <v>17</v>
      </c>
      <c r="C121" s="446" t="s">
        <v>106</v>
      </c>
      <c r="D121" s="446">
        <v>4040</v>
      </c>
      <c r="E121" s="446">
        <v>0</v>
      </c>
      <c r="F121" s="446">
        <v>0</v>
      </c>
      <c r="G121" s="446">
        <v>0</v>
      </c>
      <c r="H121" s="446">
        <v>18</v>
      </c>
      <c r="I121" s="446">
        <v>3</v>
      </c>
      <c r="J121" s="446">
        <v>1</v>
      </c>
      <c r="K121" s="446">
        <v>2</v>
      </c>
      <c r="L121" s="446">
        <v>2</v>
      </c>
      <c r="M121" s="446">
        <v>1</v>
      </c>
      <c r="N121" s="446">
        <v>0</v>
      </c>
      <c r="O121" s="446">
        <v>2</v>
      </c>
      <c r="P121" s="446">
        <v>1</v>
      </c>
      <c r="Q121" s="446">
        <v>0</v>
      </c>
      <c r="R121" s="446">
        <v>0</v>
      </c>
      <c r="S121" s="446">
        <v>0</v>
      </c>
      <c r="T121" s="447">
        <v>0</v>
      </c>
      <c r="U121" s="446">
        <v>100</v>
      </c>
      <c r="V121" s="446"/>
    </row>
    <row r="122" spans="1:22" ht="25.5" customHeight="1">
      <c r="A122" s="445">
        <v>46270</v>
      </c>
      <c r="B122" s="446" t="s">
        <v>22</v>
      </c>
      <c r="C122" s="446" t="s">
        <v>23</v>
      </c>
      <c r="D122" s="446">
        <v>10086</v>
      </c>
      <c r="E122" s="446">
        <v>10.5</v>
      </c>
      <c r="F122" s="446">
        <v>1</v>
      </c>
      <c r="G122" s="446">
        <v>10.5</v>
      </c>
      <c r="H122" s="446">
        <v>4.5</v>
      </c>
      <c r="I122" s="446">
        <v>1</v>
      </c>
      <c r="J122" s="446">
        <v>0</v>
      </c>
      <c r="K122" s="446">
        <v>1</v>
      </c>
      <c r="L122" s="446">
        <v>0</v>
      </c>
      <c r="M122" s="446">
        <v>0</v>
      </c>
      <c r="N122" s="446">
        <v>1</v>
      </c>
      <c r="O122" s="446">
        <v>1</v>
      </c>
      <c r="P122" s="446">
        <v>0</v>
      </c>
      <c r="Q122" s="446">
        <v>1.5</v>
      </c>
      <c r="R122" s="446">
        <v>0</v>
      </c>
      <c r="S122" s="446">
        <v>0</v>
      </c>
      <c r="T122" s="447">
        <v>0</v>
      </c>
      <c r="U122" s="446">
        <v>213</v>
      </c>
      <c r="V122" s="446"/>
    </row>
    <row r="123" spans="1:22" ht="25.5" customHeight="1">
      <c r="A123" s="445">
        <v>46270</v>
      </c>
      <c r="B123" s="446" t="s">
        <v>18</v>
      </c>
      <c r="C123" s="446" t="s">
        <v>97</v>
      </c>
      <c r="D123" s="446">
        <v>5259</v>
      </c>
      <c r="E123" s="446">
        <v>0</v>
      </c>
      <c r="F123" s="446">
        <v>0</v>
      </c>
      <c r="G123" s="446">
        <v>0</v>
      </c>
      <c r="H123" s="446">
        <v>17.75</v>
      </c>
      <c r="I123" s="446">
        <v>3</v>
      </c>
      <c r="J123" s="446">
        <v>1</v>
      </c>
      <c r="K123" s="446">
        <v>0</v>
      </c>
      <c r="L123" s="446">
        <v>1</v>
      </c>
      <c r="M123" s="446">
        <v>1</v>
      </c>
      <c r="N123" s="446">
        <v>2</v>
      </c>
      <c r="O123" s="446">
        <v>3</v>
      </c>
      <c r="P123" s="446">
        <v>2</v>
      </c>
      <c r="Q123" s="446">
        <v>0</v>
      </c>
      <c r="R123" s="446">
        <v>0</v>
      </c>
      <c r="S123" s="446">
        <v>0</v>
      </c>
      <c r="T123" s="447">
        <v>0</v>
      </c>
      <c r="U123" s="446">
        <v>759</v>
      </c>
      <c r="V123" s="446"/>
    </row>
    <row r="124" spans="1:22" ht="25.5" customHeight="1">
      <c r="A124" s="445">
        <v>46270</v>
      </c>
      <c r="B124" s="446" t="s">
        <v>18</v>
      </c>
      <c r="C124" s="446" t="s">
        <v>98</v>
      </c>
      <c r="D124" s="446">
        <v>5975</v>
      </c>
      <c r="E124" s="446">
        <v>4.5</v>
      </c>
      <c r="F124" s="446">
        <v>0</v>
      </c>
      <c r="G124" s="446">
        <v>4.5</v>
      </c>
      <c r="H124" s="446">
        <v>11.2</v>
      </c>
      <c r="I124" s="446">
        <v>3</v>
      </c>
      <c r="J124" s="446">
        <v>2</v>
      </c>
      <c r="K124" s="446">
        <v>0</v>
      </c>
      <c r="L124" s="446">
        <v>0</v>
      </c>
      <c r="M124" s="446">
        <v>0</v>
      </c>
      <c r="N124" s="446">
        <v>2</v>
      </c>
      <c r="O124" s="446">
        <v>2</v>
      </c>
      <c r="P124" s="446">
        <v>2</v>
      </c>
      <c r="Q124" s="446">
        <v>0</v>
      </c>
      <c r="R124" s="446">
        <v>0</v>
      </c>
      <c r="S124" s="446">
        <v>0</v>
      </c>
      <c r="T124" s="447">
        <v>300</v>
      </c>
      <c r="U124" s="446">
        <v>245</v>
      </c>
      <c r="V124" s="446"/>
    </row>
    <row r="125" spans="1:22" ht="25.5" customHeight="1">
      <c r="A125" s="445">
        <v>46270</v>
      </c>
      <c r="B125" s="446" t="s">
        <v>18</v>
      </c>
      <c r="C125" s="446" t="s">
        <v>110</v>
      </c>
      <c r="D125" s="446">
        <v>0</v>
      </c>
      <c r="E125" s="446">
        <v>0</v>
      </c>
      <c r="F125" s="446">
        <v>0</v>
      </c>
      <c r="G125" s="446">
        <v>0</v>
      </c>
      <c r="H125" s="446">
        <v>0</v>
      </c>
      <c r="I125" s="446">
        <v>0</v>
      </c>
      <c r="J125" s="446">
        <v>0</v>
      </c>
      <c r="K125" s="446">
        <v>0</v>
      </c>
      <c r="L125" s="446">
        <v>0</v>
      </c>
      <c r="M125" s="446">
        <v>0</v>
      </c>
      <c r="N125" s="446">
        <v>0</v>
      </c>
      <c r="O125" s="446">
        <v>0</v>
      </c>
      <c r="P125" s="446">
        <v>0</v>
      </c>
      <c r="Q125" s="446">
        <v>0</v>
      </c>
      <c r="R125" s="446">
        <v>0</v>
      </c>
      <c r="S125" s="446">
        <v>0</v>
      </c>
      <c r="T125" s="447">
        <v>0</v>
      </c>
      <c r="U125" s="446">
        <v>0</v>
      </c>
      <c r="V125" s="446"/>
    </row>
    <row r="126" spans="1:22" ht="25.5" customHeight="1">
      <c r="A126" s="445">
        <v>46270</v>
      </c>
      <c r="B126" s="446" t="s">
        <v>19</v>
      </c>
      <c r="C126" s="449" t="s">
        <v>99</v>
      </c>
      <c r="D126" s="446">
        <v>0</v>
      </c>
      <c r="E126" s="446">
        <v>0</v>
      </c>
      <c r="F126" s="446">
        <v>0</v>
      </c>
      <c r="G126" s="446">
        <v>0</v>
      </c>
      <c r="H126" s="446">
        <v>0</v>
      </c>
      <c r="I126" s="446">
        <v>0</v>
      </c>
      <c r="J126" s="446">
        <v>0</v>
      </c>
      <c r="K126" s="446">
        <v>0</v>
      </c>
      <c r="L126" s="446">
        <v>0</v>
      </c>
      <c r="M126" s="446">
        <v>0</v>
      </c>
      <c r="N126" s="446">
        <v>0</v>
      </c>
      <c r="O126" s="446">
        <v>0</v>
      </c>
      <c r="P126" s="446">
        <v>0</v>
      </c>
      <c r="Q126" s="446">
        <v>0</v>
      </c>
      <c r="R126" s="446">
        <v>0</v>
      </c>
      <c r="S126" s="446">
        <v>0</v>
      </c>
      <c r="T126" s="447">
        <v>0</v>
      </c>
      <c r="U126" s="446">
        <v>0</v>
      </c>
      <c r="V126" s="446"/>
    </row>
    <row r="127" spans="1:22" ht="25.5" customHeight="1">
      <c r="A127" s="445">
        <v>46270</v>
      </c>
      <c r="B127" s="446" t="s">
        <v>19</v>
      </c>
      <c r="C127" s="449" t="s">
        <v>88</v>
      </c>
      <c r="D127" s="446">
        <v>588</v>
      </c>
      <c r="E127" s="446">
        <v>1.5</v>
      </c>
      <c r="F127" s="446">
        <v>0</v>
      </c>
      <c r="G127" s="446">
        <v>0</v>
      </c>
      <c r="H127" s="446">
        <v>1.75</v>
      </c>
      <c r="I127" s="446">
        <v>1</v>
      </c>
      <c r="J127" s="446">
        <v>0</v>
      </c>
      <c r="K127" s="446">
        <v>0</v>
      </c>
      <c r="L127" s="446">
        <v>0</v>
      </c>
      <c r="M127" s="446">
        <v>0</v>
      </c>
      <c r="N127" s="446">
        <v>1</v>
      </c>
      <c r="O127" s="446">
        <v>0</v>
      </c>
      <c r="P127" s="446">
        <v>0</v>
      </c>
      <c r="Q127" s="446">
        <v>0</v>
      </c>
      <c r="R127" s="446">
        <v>0</v>
      </c>
      <c r="S127" s="446">
        <v>0</v>
      </c>
      <c r="T127" s="447">
        <v>0</v>
      </c>
      <c r="U127" s="446">
        <v>600</v>
      </c>
      <c r="V127" s="446"/>
    </row>
    <row r="128" spans="1:22" ht="25.5" customHeight="1">
      <c r="A128" s="445">
        <v>46270</v>
      </c>
      <c r="B128" s="446" t="s">
        <v>19</v>
      </c>
      <c r="C128" s="449" t="s">
        <v>107</v>
      </c>
      <c r="D128" s="446">
        <v>4435</v>
      </c>
      <c r="E128" s="446">
        <v>0</v>
      </c>
      <c r="F128" s="446">
        <v>0</v>
      </c>
      <c r="G128" s="446">
        <v>0</v>
      </c>
      <c r="H128" s="446">
        <v>2.5</v>
      </c>
      <c r="I128" s="446">
        <v>1</v>
      </c>
      <c r="J128" s="446">
        <v>1</v>
      </c>
      <c r="K128" s="446">
        <v>0</v>
      </c>
      <c r="L128" s="446">
        <v>0</v>
      </c>
      <c r="M128" s="446">
        <v>0</v>
      </c>
      <c r="N128" s="446">
        <v>0</v>
      </c>
      <c r="O128" s="446">
        <v>0</v>
      </c>
      <c r="P128" s="446">
        <v>0</v>
      </c>
      <c r="Q128" s="446">
        <v>0</v>
      </c>
      <c r="R128" s="446">
        <v>0</v>
      </c>
      <c r="S128" s="446">
        <v>0</v>
      </c>
      <c r="T128" s="447">
        <v>0</v>
      </c>
      <c r="U128" s="446">
        <v>245</v>
      </c>
      <c r="V128" s="446"/>
    </row>
    <row r="129" spans="1:22" ht="25.5" customHeight="1">
      <c r="A129" s="445">
        <v>46270</v>
      </c>
      <c r="B129" s="446" t="s">
        <v>20</v>
      </c>
      <c r="C129" s="446" t="s">
        <v>93</v>
      </c>
      <c r="D129" s="446">
        <v>18630</v>
      </c>
      <c r="E129" s="446">
        <v>15</v>
      </c>
      <c r="F129" s="446">
        <v>1</v>
      </c>
      <c r="G129" s="446">
        <v>15</v>
      </c>
      <c r="H129" s="446">
        <v>36.5</v>
      </c>
      <c r="I129" s="446">
        <v>5</v>
      </c>
      <c r="J129" s="446">
        <v>3</v>
      </c>
      <c r="K129" s="446">
        <v>0</v>
      </c>
      <c r="L129" s="446">
        <v>3</v>
      </c>
      <c r="M129" s="446">
        <v>2</v>
      </c>
      <c r="N129" s="446">
        <v>2</v>
      </c>
      <c r="O129" s="446">
        <v>4</v>
      </c>
      <c r="P129" s="446">
        <v>0</v>
      </c>
      <c r="Q129" s="446">
        <v>0</v>
      </c>
      <c r="R129" s="446">
        <v>0</v>
      </c>
      <c r="S129" s="446">
        <v>0</v>
      </c>
      <c r="T129" s="447">
        <v>0</v>
      </c>
      <c r="U129" s="446">
        <v>1499</v>
      </c>
      <c r="V129" s="446"/>
    </row>
    <row r="130" spans="1:22" ht="25.5" customHeight="1">
      <c r="A130" s="445">
        <v>46270</v>
      </c>
      <c r="B130" s="446" t="s">
        <v>20</v>
      </c>
      <c r="C130" s="446" t="s">
        <v>105</v>
      </c>
      <c r="D130" s="446">
        <v>3109</v>
      </c>
      <c r="E130" s="446">
        <v>0</v>
      </c>
      <c r="F130" s="446">
        <v>0</v>
      </c>
      <c r="G130" s="446">
        <v>0</v>
      </c>
      <c r="H130" s="446">
        <v>4.5</v>
      </c>
      <c r="I130" s="446">
        <v>1</v>
      </c>
      <c r="J130" s="446">
        <v>1</v>
      </c>
      <c r="K130" s="446">
        <v>1</v>
      </c>
      <c r="L130" s="446">
        <v>0</v>
      </c>
      <c r="M130" s="446">
        <v>0</v>
      </c>
      <c r="N130" s="446">
        <v>0</v>
      </c>
      <c r="O130" s="446">
        <v>1</v>
      </c>
      <c r="P130" s="446">
        <v>0</v>
      </c>
      <c r="Q130" s="446">
        <v>0</v>
      </c>
      <c r="R130" s="446">
        <v>0</v>
      </c>
      <c r="S130" s="446">
        <v>0</v>
      </c>
      <c r="T130" s="447">
        <v>0</v>
      </c>
      <c r="U130" s="446">
        <v>0</v>
      </c>
      <c r="V130" s="446"/>
    </row>
    <row r="131" spans="1:22" ht="25.5" customHeight="1">
      <c r="A131" s="445">
        <v>46270</v>
      </c>
      <c r="B131" s="446" t="s">
        <v>20</v>
      </c>
      <c r="C131" s="446" t="s">
        <v>102</v>
      </c>
      <c r="D131" s="446">
        <v>8991.4</v>
      </c>
      <c r="E131" s="446">
        <v>0</v>
      </c>
      <c r="F131" s="446">
        <v>0</v>
      </c>
      <c r="G131" s="446">
        <v>0</v>
      </c>
      <c r="H131" s="446">
        <v>21</v>
      </c>
      <c r="I131" s="446">
        <v>2</v>
      </c>
      <c r="J131" s="446">
        <v>1</v>
      </c>
      <c r="K131" s="446">
        <v>0</v>
      </c>
      <c r="L131" s="446">
        <v>2</v>
      </c>
      <c r="M131" s="446">
        <v>1</v>
      </c>
      <c r="N131" s="446">
        <v>0</v>
      </c>
      <c r="O131" s="446">
        <v>3</v>
      </c>
      <c r="P131" s="446">
        <v>2</v>
      </c>
      <c r="Q131" s="446">
        <v>0</v>
      </c>
      <c r="R131" s="446">
        <v>0</v>
      </c>
      <c r="S131" s="446">
        <v>0</v>
      </c>
      <c r="T131" s="447">
        <v>0</v>
      </c>
      <c r="U131" s="446">
        <v>655</v>
      </c>
      <c r="V131" s="446"/>
    </row>
    <row r="132" spans="1:22" ht="25.5" customHeight="1">
      <c r="A132" s="445">
        <v>46270</v>
      </c>
      <c r="B132" s="446" t="s">
        <v>20</v>
      </c>
      <c r="C132" s="446" t="s">
        <v>111</v>
      </c>
      <c r="D132" s="446">
        <v>5927</v>
      </c>
      <c r="E132" s="446">
        <v>0</v>
      </c>
      <c r="F132" s="446">
        <v>0</v>
      </c>
      <c r="G132" s="446">
        <v>0</v>
      </c>
      <c r="H132" s="446">
        <v>17</v>
      </c>
      <c r="I132" s="446">
        <v>2</v>
      </c>
      <c r="J132" s="446">
        <v>1</v>
      </c>
      <c r="K132" s="446">
        <v>1</v>
      </c>
      <c r="L132" s="446">
        <v>1</v>
      </c>
      <c r="M132" s="446">
        <v>1</v>
      </c>
      <c r="N132" s="446">
        <v>0</v>
      </c>
      <c r="O132" s="446">
        <v>1</v>
      </c>
      <c r="P132" s="446">
        <v>0</v>
      </c>
      <c r="Q132" s="446">
        <v>0</v>
      </c>
      <c r="R132" s="446">
        <v>0</v>
      </c>
      <c r="S132" s="446">
        <v>0</v>
      </c>
      <c r="T132" s="447">
        <v>0</v>
      </c>
      <c r="U132" s="446">
        <v>263</v>
      </c>
      <c r="V132" s="446"/>
    </row>
    <row r="133" spans="1:22" ht="25.5" customHeight="1">
      <c r="A133" s="445">
        <v>46270</v>
      </c>
      <c r="B133" s="446" t="s">
        <v>21</v>
      </c>
      <c r="C133" s="446" t="s">
        <v>90</v>
      </c>
      <c r="D133" s="446">
        <v>0</v>
      </c>
      <c r="E133" s="446">
        <v>0</v>
      </c>
      <c r="F133" s="446">
        <v>0</v>
      </c>
      <c r="G133" s="446">
        <v>0</v>
      </c>
      <c r="H133" s="446">
        <v>0</v>
      </c>
      <c r="I133" s="446">
        <v>0</v>
      </c>
      <c r="J133" s="446">
        <v>0</v>
      </c>
      <c r="K133" s="446">
        <v>0</v>
      </c>
      <c r="L133" s="446">
        <v>0</v>
      </c>
      <c r="M133" s="446">
        <v>0</v>
      </c>
      <c r="N133" s="446">
        <v>0</v>
      </c>
      <c r="O133" s="446">
        <v>0</v>
      </c>
      <c r="P133" s="446">
        <v>0</v>
      </c>
      <c r="Q133" s="446">
        <v>0</v>
      </c>
      <c r="R133" s="446">
        <v>0</v>
      </c>
      <c r="S133" s="446">
        <v>0</v>
      </c>
      <c r="T133" s="447">
        <v>0</v>
      </c>
      <c r="U133" s="446">
        <v>0</v>
      </c>
      <c r="V133" s="446"/>
    </row>
    <row r="134" spans="1:22" ht="25.5" customHeight="1">
      <c r="A134" s="445">
        <v>46270</v>
      </c>
      <c r="B134" s="446" t="s">
        <v>21</v>
      </c>
      <c r="C134" s="446" t="s">
        <v>109</v>
      </c>
      <c r="D134" s="446">
        <v>13794</v>
      </c>
      <c r="E134" s="446">
        <v>0</v>
      </c>
      <c r="F134" s="446">
        <v>0</v>
      </c>
      <c r="G134" s="446">
        <v>0</v>
      </c>
      <c r="H134" s="446">
        <v>33.5</v>
      </c>
      <c r="I134" s="446">
        <v>5</v>
      </c>
      <c r="J134" s="446">
        <v>1</v>
      </c>
      <c r="K134" s="446">
        <v>3</v>
      </c>
      <c r="L134" s="446">
        <v>3</v>
      </c>
      <c r="M134" s="446">
        <v>1</v>
      </c>
      <c r="N134" s="446">
        <v>0</v>
      </c>
      <c r="O134" s="446">
        <v>3</v>
      </c>
      <c r="P134" s="446">
        <v>2</v>
      </c>
      <c r="Q134" s="446">
        <v>0</v>
      </c>
      <c r="R134" s="446">
        <v>0</v>
      </c>
      <c r="S134" s="446">
        <v>0</v>
      </c>
      <c r="T134" s="447">
        <v>0</v>
      </c>
      <c r="U134" s="446">
        <v>2621</v>
      </c>
      <c r="V134" s="446"/>
    </row>
    <row r="135" spans="1:22" ht="25.5" customHeight="1">
      <c r="A135" s="445">
        <v>46270</v>
      </c>
      <c r="B135" s="446" t="s">
        <v>21</v>
      </c>
      <c r="C135" s="446" t="s">
        <v>103</v>
      </c>
      <c r="D135" s="446">
        <v>6720.2</v>
      </c>
      <c r="E135" s="446">
        <v>1.5</v>
      </c>
      <c r="F135" s="446">
        <v>0</v>
      </c>
      <c r="G135" s="446">
        <v>0</v>
      </c>
      <c r="H135" s="446">
        <v>21</v>
      </c>
      <c r="I135" s="446">
        <v>2</v>
      </c>
      <c r="J135" s="446">
        <v>1</v>
      </c>
      <c r="K135" s="446">
        <v>2</v>
      </c>
      <c r="L135" s="446">
        <v>1</v>
      </c>
      <c r="M135" s="446">
        <v>1</v>
      </c>
      <c r="N135" s="446">
        <v>0</v>
      </c>
      <c r="O135" s="446">
        <v>1</v>
      </c>
      <c r="P135" s="446">
        <v>1.5</v>
      </c>
      <c r="Q135" s="446">
        <v>0</v>
      </c>
      <c r="R135" s="446">
        <v>0</v>
      </c>
      <c r="S135" s="446">
        <v>0</v>
      </c>
      <c r="T135" s="447">
        <v>0</v>
      </c>
      <c r="U135" s="446">
        <v>150</v>
      </c>
      <c r="V135" s="446"/>
    </row>
    <row r="136" spans="1:22" ht="25.5" customHeight="1">
      <c r="A136" s="445">
        <v>46270</v>
      </c>
      <c r="B136" s="446" t="s">
        <v>21</v>
      </c>
      <c r="C136" s="446" t="s">
        <v>112</v>
      </c>
      <c r="D136" s="446">
        <v>6090</v>
      </c>
      <c r="E136" s="446">
        <v>0</v>
      </c>
      <c r="F136" s="446">
        <v>0</v>
      </c>
      <c r="G136" s="446">
        <v>0</v>
      </c>
      <c r="H136" s="446">
        <v>35.5</v>
      </c>
      <c r="I136" s="446">
        <v>2</v>
      </c>
      <c r="J136" s="446">
        <v>2</v>
      </c>
      <c r="K136" s="446">
        <v>0</v>
      </c>
      <c r="L136" s="446">
        <v>1</v>
      </c>
      <c r="M136" s="446">
        <v>1</v>
      </c>
      <c r="N136" s="446">
        <v>0</v>
      </c>
      <c r="O136" s="446">
        <v>2</v>
      </c>
      <c r="P136" s="446">
        <v>1</v>
      </c>
      <c r="Q136" s="446">
        <v>0</v>
      </c>
      <c r="R136" s="446">
        <v>0</v>
      </c>
      <c r="S136" s="446">
        <v>0</v>
      </c>
      <c r="T136" s="447">
        <v>0</v>
      </c>
      <c r="U136" s="446">
        <v>0</v>
      </c>
      <c r="V136" s="446"/>
    </row>
    <row r="137" spans="1:22" ht="25.5" customHeight="1">
      <c r="A137" s="445">
        <v>46271</v>
      </c>
      <c r="B137" s="446" t="s">
        <v>17</v>
      </c>
      <c r="C137" s="446" t="s">
        <v>96</v>
      </c>
      <c r="D137" s="446">
        <v>5538</v>
      </c>
      <c r="E137" s="446">
        <v>0</v>
      </c>
      <c r="F137" s="446">
        <v>0</v>
      </c>
      <c r="G137" s="446">
        <v>0</v>
      </c>
      <c r="H137" s="446">
        <v>1.5</v>
      </c>
      <c r="I137" s="446">
        <v>0</v>
      </c>
      <c r="J137" s="446">
        <v>0</v>
      </c>
      <c r="K137" s="446">
        <v>1</v>
      </c>
      <c r="L137" s="446">
        <v>0</v>
      </c>
      <c r="M137" s="446">
        <v>0</v>
      </c>
      <c r="N137" s="446">
        <v>1</v>
      </c>
      <c r="O137" s="446">
        <v>1</v>
      </c>
      <c r="P137" s="446">
        <v>1.5</v>
      </c>
      <c r="Q137" s="446">
        <v>0</v>
      </c>
      <c r="R137" s="446">
        <v>0</v>
      </c>
      <c r="S137" s="446">
        <v>0</v>
      </c>
      <c r="T137" s="447">
        <v>0</v>
      </c>
      <c r="U137" s="446">
        <v>50</v>
      </c>
      <c r="V137" s="446"/>
    </row>
    <row r="138" spans="1:22" ht="25.5" customHeight="1">
      <c r="A138" s="445">
        <v>46271</v>
      </c>
      <c r="B138" s="446" t="s">
        <v>17</v>
      </c>
      <c r="C138" s="446" t="s">
        <v>108</v>
      </c>
      <c r="D138" s="446">
        <v>0</v>
      </c>
      <c r="E138" s="446">
        <v>0</v>
      </c>
      <c r="F138" s="446">
        <v>0</v>
      </c>
      <c r="G138" s="446">
        <v>0</v>
      </c>
      <c r="H138" s="446">
        <v>0</v>
      </c>
      <c r="I138" s="446">
        <v>0</v>
      </c>
      <c r="J138" s="446">
        <v>0</v>
      </c>
      <c r="K138" s="446">
        <v>0</v>
      </c>
      <c r="L138" s="446">
        <v>0</v>
      </c>
      <c r="M138" s="446">
        <v>0</v>
      </c>
      <c r="N138" s="446">
        <v>0</v>
      </c>
      <c r="O138" s="446">
        <v>0</v>
      </c>
      <c r="P138" s="446">
        <v>0</v>
      </c>
      <c r="Q138" s="446">
        <v>0</v>
      </c>
      <c r="R138" s="446">
        <v>0</v>
      </c>
      <c r="S138" s="446">
        <v>0</v>
      </c>
      <c r="T138" s="447">
        <v>0</v>
      </c>
      <c r="U138" s="446">
        <v>0</v>
      </c>
      <c r="V138" s="446"/>
    </row>
    <row r="139" spans="1:22" ht="25.5" customHeight="1">
      <c r="A139" s="445">
        <v>46271</v>
      </c>
      <c r="B139" s="446" t="s">
        <v>17</v>
      </c>
      <c r="C139" s="446" t="s">
        <v>101</v>
      </c>
      <c r="D139" s="446">
        <v>0</v>
      </c>
      <c r="E139" s="446">
        <v>0</v>
      </c>
      <c r="F139" s="446">
        <v>0</v>
      </c>
      <c r="G139" s="446">
        <v>0</v>
      </c>
      <c r="H139" s="446">
        <v>0</v>
      </c>
      <c r="I139" s="446">
        <v>0</v>
      </c>
      <c r="J139" s="446">
        <v>0</v>
      </c>
      <c r="K139" s="446">
        <v>0</v>
      </c>
      <c r="L139" s="446">
        <v>0</v>
      </c>
      <c r="M139" s="446">
        <v>0</v>
      </c>
      <c r="N139" s="446">
        <v>0</v>
      </c>
      <c r="O139" s="446">
        <v>0</v>
      </c>
      <c r="P139" s="446">
        <v>0</v>
      </c>
      <c r="Q139" s="446">
        <v>0</v>
      </c>
      <c r="R139" s="446">
        <v>0</v>
      </c>
      <c r="S139" s="446">
        <v>0</v>
      </c>
      <c r="T139" s="447">
        <v>0</v>
      </c>
      <c r="U139" s="446">
        <v>0</v>
      </c>
      <c r="V139" s="446"/>
    </row>
    <row r="140" spans="1:22" ht="25.5" customHeight="1">
      <c r="A140" s="445">
        <v>46271</v>
      </c>
      <c r="B140" s="446" t="s">
        <v>17</v>
      </c>
      <c r="C140" s="446" t="s">
        <v>106</v>
      </c>
      <c r="D140" s="446">
        <v>1200</v>
      </c>
      <c r="E140" s="446">
        <v>4.5</v>
      </c>
      <c r="F140" s="446">
        <v>0</v>
      </c>
      <c r="G140" s="446">
        <v>3</v>
      </c>
      <c r="H140" s="446">
        <v>3.5</v>
      </c>
      <c r="I140" s="446">
        <v>1</v>
      </c>
      <c r="J140" s="446">
        <v>1</v>
      </c>
      <c r="K140" s="446">
        <v>1</v>
      </c>
      <c r="L140" s="446">
        <v>0</v>
      </c>
      <c r="M140" s="446">
        <v>0</v>
      </c>
      <c r="N140" s="446">
        <v>1</v>
      </c>
      <c r="O140" s="446">
        <v>0</v>
      </c>
      <c r="P140" s="446">
        <v>0</v>
      </c>
      <c r="Q140" s="446">
        <v>0</v>
      </c>
      <c r="R140" s="446">
        <v>0</v>
      </c>
      <c r="S140" s="446">
        <v>0</v>
      </c>
      <c r="T140" s="447">
        <v>0</v>
      </c>
      <c r="U140" s="446">
        <v>0</v>
      </c>
      <c r="V140" s="446"/>
    </row>
    <row r="141" spans="1:22" ht="25.5" customHeight="1">
      <c r="A141" s="445">
        <v>46271</v>
      </c>
      <c r="B141" s="446" t="s">
        <v>22</v>
      </c>
      <c r="C141" s="446" t="s">
        <v>23</v>
      </c>
      <c r="D141" s="446">
        <v>5305</v>
      </c>
      <c r="E141" s="446">
        <v>0</v>
      </c>
      <c r="F141" s="446">
        <v>0</v>
      </c>
      <c r="G141" s="446">
        <v>0</v>
      </c>
      <c r="H141" s="446">
        <v>16</v>
      </c>
      <c r="I141" s="446">
        <v>4</v>
      </c>
      <c r="J141" s="446">
        <v>0</v>
      </c>
      <c r="K141" s="446">
        <v>1</v>
      </c>
      <c r="L141" s="446">
        <v>1</v>
      </c>
      <c r="M141" s="446">
        <v>0</v>
      </c>
      <c r="N141" s="446">
        <v>0</v>
      </c>
      <c r="O141" s="446">
        <v>3</v>
      </c>
      <c r="P141" s="446">
        <v>1</v>
      </c>
      <c r="Q141" s="446">
        <v>0</v>
      </c>
      <c r="R141" s="446">
        <v>0</v>
      </c>
      <c r="S141" s="446">
        <v>0</v>
      </c>
      <c r="T141" s="447">
        <v>0</v>
      </c>
      <c r="U141" s="446">
        <v>455</v>
      </c>
      <c r="V141" s="446"/>
    </row>
    <row r="142" spans="1:22" ht="25.5" customHeight="1">
      <c r="A142" s="445">
        <v>46271</v>
      </c>
      <c r="B142" s="446" t="s">
        <v>18</v>
      </c>
      <c r="C142" s="446" t="s">
        <v>97</v>
      </c>
      <c r="D142" s="446">
        <v>0</v>
      </c>
      <c r="E142" s="446">
        <v>0</v>
      </c>
      <c r="F142" s="446">
        <v>0</v>
      </c>
      <c r="G142" s="446">
        <v>0</v>
      </c>
      <c r="H142" s="446">
        <v>0</v>
      </c>
      <c r="I142" s="446">
        <v>0</v>
      </c>
      <c r="J142" s="446">
        <v>0</v>
      </c>
      <c r="K142" s="446">
        <v>0</v>
      </c>
      <c r="L142" s="446">
        <v>0</v>
      </c>
      <c r="M142" s="446">
        <v>0</v>
      </c>
      <c r="N142" s="446">
        <v>0</v>
      </c>
      <c r="O142" s="446">
        <v>0</v>
      </c>
      <c r="P142" s="446">
        <v>0</v>
      </c>
      <c r="Q142" s="446">
        <v>0</v>
      </c>
      <c r="R142" s="446">
        <v>0</v>
      </c>
      <c r="S142" s="446">
        <v>0</v>
      </c>
      <c r="T142" s="447">
        <v>0</v>
      </c>
      <c r="U142" s="446">
        <v>0</v>
      </c>
      <c r="V142" s="446"/>
    </row>
    <row r="143" spans="1:22" ht="25.5" customHeight="1">
      <c r="A143" s="445">
        <v>46271</v>
      </c>
      <c r="B143" s="446" t="s">
        <v>18</v>
      </c>
      <c r="C143" s="446" t="s">
        <v>98</v>
      </c>
      <c r="D143" s="446">
        <v>7400</v>
      </c>
      <c r="E143" s="446">
        <v>0</v>
      </c>
      <c r="F143" s="446">
        <v>0</v>
      </c>
      <c r="G143" s="446">
        <v>0</v>
      </c>
      <c r="H143" s="446">
        <v>21</v>
      </c>
      <c r="I143" s="446">
        <v>3</v>
      </c>
      <c r="J143" s="446">
        <v>2</v>
      </c>
      <c r="K143" s="446">
        <v>1</v>
      </c>
      <c r="L143" s="446">
        <v>2</v>
      </c>
      <c r="M143" s="446">
        <v>2</v>
      </c>
      <c r="N143" s="446">
        <v>0</v>
      </c>
      <c r="O143" s="446">
        <v>2</v>
      </c>
      <c r="P143" s="446">
        <v>0</v>
      </c>
      <c r="Q143" s="446">
        <v>0</v>
      </c>
      <c r="R143" s="446">
        <v>0</v>
      </c>
      <c r="S143" s="446">
        <v>0</v>
      </c>
      <c r="T143" s="447">
        <v>0</v>
      </c>
      <c r="U143" s="446">
        <v>0</v>
      </c>
      <c r="V143" s="446"/>
    </row>
    <row r="144" spans="1:22" ht="25.5" customHeight="1">
      <c r="A144" s="445">
        <v>46271</v>
      </c>
      <c r="B144" s="446" t="s">
        <v>18</v>
      </c>
      <c r="C144" s="446" t="s">
        <v>110</v>
      </c>
      <c r="D144" s="446">
        <v>7208</v>
      </c>
      <c r="E144" s="446">
        <v>1.5</v>
      </c>
      <c r="F144" s="446">
        <v>0</v>
      </c>
      <c r="G144" s="446">
        <v>0</v>
      </c>
      <c r="H144" s="446">
        <v>25.2</v>
      </c>
      <c r="I144" s="446">
        <v>1</v>
      </c>
      <c r="J144" s="446">
        <v>2</v>
      </c>
      <c r="K144" s="446">
        <v>0</v>
      </c>
      <c r="L144" s="446">
        <v>1</v>
      </c>
      <c r="M144" s="446">
        <v>1</v>
      </c>
      <c r="N144" s="446">
        <v>0</v>
      </c>
      <c r="O144" s="446">
        <v>1</v>
      </c>
      <c r="P144" s="446">
        <v>2</v>
      </c>
      <c r="Q144" s="446">
        <v>0</v>
      </c>
      <c r="R144" s="446">
        <v>0</v>
      </c>
      <c r="S144" s="446">
        <v>0</v>
      </c>
      <c r="T144" s="447">
        <v>0</v>
      </c>
      <c r="U144" s="446">
        <v>1092</v>
      </c>
      <c r="V144" s="446"/>
    </row>
    <row r="145" spans="1:22" ht="25.5" customHeight="1">
      <c r="A145" s="445">
        <v>46271</v>
      </c>
      <c r="B145" s="446" t="s">
        <v>19</v>
      </c>
      <c r="C145" s="446" t="s">
        <v>99</v>
      </c>
      <c r="D145" s="446">
        <v>9092</v>
      </c>
      <c r="E145" s="446">
        <v>0</v>
      </c>
      <c r="F145" s="446">
        <v>0</v>
      </c>
      <c r="G145" s="446">
        <v>0</v>
      </c>
      <c r="H145" s="446">
        <v>0</v>
      </c>
      <c r="I145" s="446">
        <v>0</v>
      </c>
      <c r="J145" s="446">
        <v>0</v>
      </c>
      <c r="K145" s="446">
        <v>0</v>
      </c>
      <c r="L145" s="446">
        <v>0</v>
      </c>
      <c r="M145" s="446">
        <v>0</v>
      </c>
      <c r="N145" s="446">
        <v>1</v>
      </c>
      <c r="O145" s="446">
        <v>0</v>
      </c>
      <c r="P145" s="446">
        <v>0</v>
      </c>
      <c r="Q145" s="446">
        <v>0</v>
      </c>
      <c r="R145" s="446">
        <v>0</v>
      </c>
      <c r="S145" s="446">
        <v>0</v>
      </c>
      <c r="T145" s="447">
        <v>0</v>
      </c>
      <c r="U145" s="446">
        <v>200</v>
      </c>
      <c r="V145" s="446"/>
    </row>
    <row r="146" spans="1:22" ht="25.5" customHeight="1">
      <c r="A146" s="445">
        <v>46271</v>
      </c>
      <c r="B146" s="446" t="s">
        <v>19</v>
      </c>
      <c r="C146" s="446" t="s">
        <v>88</v>
      </c>
      <c r="D146" s="446">
        <v>6540</v>
      </c>
      <c r="E146" s="446">
        <v>0</v>
      </c>
      <c r="F146" s="446">
        <v>0</v>
      </c>
      <c r="G146" s="446">
        <v>0</v>
      </c>
      <c r="H146" s="446">
        <v>6.75</v>
      </c>
      <c r="I146" s="446">
        <v>2</v>
      </c>
      <c r="J146" s="446">
        <v>0</v>
      </c>
      <c r="K146" s="446">
        <v>2</v>
      </c>
      <c r="L146" s="446">
        <v>0</v>
      </c>
      <c r="M146" s="446">
        <v>0</v>
      </c>
      <c r="N146" s="446">
        <v>0</v>
      </c>
      <c r="O146" s="446">
        <v>2</v>
      </c>
      <c r="P146" s="446">
        <v>0</v>
      </c>
      <c r="Q146" s="446">
        <v>0</v>
      </c>
      <c r="R146" s="446">
        <v>0</v>
      </c>
      <c r="S146" s="446">
        <v>0</v>
      </c>
      <c r="T146" s="447">
        <v>0</v>
      </c>
      <c r="U146" s="446">
        <v>0</v>
      </c>
      <c r="V146" s="446"/>
    </row>
    <row r="147" spans="1:22" ht="25.5" customHeight="1">
      <c r="A147" s="445">
        <v>46271</v>
      </c>
      <c r="B147" s="446" t="s">
        <v>19</v>
      </c>
      <c r="C147" s="446" t="s">
        <v>107</v>
      </c>
      <c r="D147" s="446">
        <v>2927</v>
      </c>
      <c r="E147" s="446">
        <v>0</v>
      </c>
      <c r="F147" s="446">
        <v>0</v>
      </c>
      <c r="G147" s="446">
        <v>0</v>
      </c>
      <c r="H147" s="446">
        <v>4.25</v>
      </c>
      <c r="I147" s="446">
        <v>2</v>
      </c>
      <c r="J147" s="446">
        <v>1</v>
      </c>
      <c r="K147" s="446">
        <v>1</v>
      </c>
      <c r="L147" s="446">
        <v>0</v>
      </c>
      <c r="M147" s="446">
        <v>0</v>
      </c>
      <c r="N147" s="446">
        <v>0</v>
      </c>
      <c r="O147" s="446">
        <v>1</v>
      </c>
      <c r="P147" s="446">
        <v>0</v>
      </c>
      <c r="Q147" s="446">
        <v>0</v>
      </c>
      <c r="R147" s="446">
        <v>0</v>
      </c>
      <c r="S147" s="446">
        <v>0</v>
      </c>
      <c r="T147" s="447">
        <v>0</v>
      </c>
      <c r="U147" s="446">
        <v>462.73</v>
      </c>
      <c r="V147" s="446"/>
    </row>
    <row r="148" spans="1:22" ht="25.5" customHeight="1">
      <c r="A148" s="445">
        <v>46271</v>
      </c>
      <c r="B148" s="446" t="s">
        <v>20</v>
      </c>
      <c r="C148" s="446" t="s">
        <v>93</v>
      </c>
      <c r="D148" s="446">
        <v>0</v>
      </c>
      <c r="E148" s="446">
        <v>0</v>
      </c>
      <c r="F148" s="446">
        <v>0</v>
      </c>
      <c r="G148" s="446">
        <v>0</v>
      </c>
      <c r="H148" s="446">
        <v>0</v>
      </c>
      <c r="I148" s="446">
        <v>0</v>
      </c>
      <c r="J148" s="446">
        <v>0</v>
      </c>
      <c r="K148" s="446">
        <v>0</v>
      </c>
      <c r="L148" s="446">
        <v>0</v>
      </c>
      <c r="M148" s="446">
        <v>0</v>
      </c>
      <c r="N148" s="446">
        <v>0</v>
      </c>
      <c r="O148" s="446">
        <v>0</v>
      </c>
      <c r="P148" s="446">
        <v>0</v>
      </c>
      <c r="Q148" s="446">
        <v>0</v>
      </c>
      <c r="R148" s="446">
        <v>0</v>
      </c>
      <c r="S148" s="446">
        <v>0</v>
      </c>
      <c r="T148" s="447">
        <v>0</v>
      </c>
      <c r="U148" s="446">
        <v>0</v>
      </c>
      <c r="V148" s="446"/>
    </row>
    <row r="149" spans="1:22" ht="25.5" customHeight="1">
      <c r="A149" s="445">
        <v>46271</v>
      </c>
      <c r="B149" s="446" t="s">
        <v>20</v>
      </c>
      <c r="C149" s="446" t="s">
        <v>105</v>
      </c>
      <c r="D149" s="446">
        <v>8988</v>
      </c>
      <c r="E149" s="446">
        <v>0</v>
      </c>
      <c r="F149" s="446">
        <v>0</v>
      </c>
      <c r="G149" s="446">
        <v>0</v>
      </c>
      <c r="H149" s="446">
        <v>37.25</v>
      </c>
      <c r="I149" s="446">
        <v>6</v>
      </c>
      <c r="J149" s="446">
        <v>3</v>
      </c>
      <c r="K149" s="446">
        <v>1</v>
      </c>
      <c r="L149" s="446">
        <v>3</v>
      </c>
      <c r="M149" s="446">
        <v>1</v>
      </c>
      <c r="N149" s="446">
        <v>1</v>
      </c>
      <c r="O149" s="446">
        <v>4</v>
      </c>
      <c r="P149" s="446">
        <v>2</v>
      </c>
      <c r="Q149" s="446">
        <v>1.25</v>
      </c>
      <c r="R149" s="446">
        <v>0</v>
      </c>
      <c r="S149" s="446">
        <v>0</v>
      </c>
      <c r="T149" s="447">
        <v>300</v>
      </c>
      <c r="U149" s="446">
        <v>1116.73</v>
      </c>
      <c r="V149" s="446"/>
    </row>
    <row r="150" spans="1:22" ht="25.5" customHeight="1">
      <c r="A150" s="445">
        <v>46271</v>
      </c>
      <c r="B150" s="446" t="s">
        <v>20</v>
      </c>
      <c r="C150" s="446" t="s">
        <v>102</v>
      </c>
      <c r="D150" s="446">
        <v>4354.3999999999996</v>
      </c>
      <c r="E150" s="446">
        <v>5.5</v>
      </c>
      <c r="F150" s="446">
        <v>0</v>
      </c>
      <c r="G150" s="446">
        <v>5.5</v>
      </c>
      <c r="H150" s="446">
        <v>17.399999999999999</v>
      </c>
      <c r="I150" s="446">
        <v>2</v>
      </c>
      <c r="J150" s="446">
        <v>3</v>
      </c>
      <c r="K150" s="446">
        <v>1</v>
      </c>
      <c r="L150" s="446">
        <v>1</v>
      </c>
      <c r="M150" s="446">
        <v>0</v>
      </c>
      <c r="N150" s="446">
        <v>1</v>
      </c>
      <c r="O150" s="446">
        <v>2</v>
      </c>
      <c r="P150" s="446">
        <v>1</v>
      </c>
      <c r="Q150" s="446">
        <v>0</v>
      </c>
      <c r="R150" s="446">
        <v>0</v>
      </c>
      <c r="S150" s="446">
        <v>0</v>
      </c>
      <c r="T150" s="447">
        <v>0</v>
      </c>
      <c r="U150" s="446">
        <v>3086.36</v>
      </c>
      <c r="V150" s="446"/>
    </row>
    <row r="151" spans="1:22" ht="25.5" customHeight="1">
      <c r="A151" s="445">
        <v>46271</v>
      </c>
      <c r="B151" s="446" t="s">
        <v>20</v>
      </c>
      <c r="C151" s="446" t="s">
        <v>111</v>
      </c>
      <c r="D151" s="446">
        <v>2784</v>
      </c>
      <c r="E151" s="446">
        <v>0</v>
      </c>
      <c r="F151" s="446">
        <v>0</v>
      </c>
      <c r="G151" s="446">
        <v>0</v>
      </c>
      <c r="H151" s="446">
        <v>9</v>
      </c>
      <c r="I151" s="446">
        <v>1</v>
      </c>
      <c r="J151" s="446">
        <v>1</v>
      </c>
      <c r="K151" s="446">
        <v>1</v>
      </c>
      <c r="L151" s="446">
        <v>1</v>
      </c>
      <c r="M151" s="446">
        <v>0</v>
      </c>
      <c r="N151" s="446">
        <v>0</v>
      </c>
      <c r="O151" s="446">
        <v>1</v>
      </c>
      <c r="P151" s="446">
        <v>0</v>
      </c>
      <c r="Q151" s="446">
        <v>0</v>
      </c>
      <c r="R151" s="446">
        <v>0</v>
      </c>
      <c r="S151" s="446">
        <v>0</v>
      </c>
      <c r="T151" s="447">
        <v>0</v>
      </c>
      <c r="U151" s="446">
        <v>375</v>
      </c>
      <c r="V151" s="446"/>
    </row>
    <row r="152" spans="1:22" ht="25.5" customHeight="1">
      <c r="A152" s="445">
        <v>46271</v>
      </c>
      <c r="B152" s="446" t="s">
        <v>21</v>
      </c>
      <c r="C152" s="446" t="s">
        <v>90</v>
      </c>
      <c r="D152" s="446">
        <v>7676.58</v>
      </c>
      <c r="E152" s="446">
        <v>0</v>
      </c>
      <c r="F152" s="446">
        <v>0</v>
      </c>
      <c r="G152" s="446">
        <v>0</v>
      </c>
      <c r="H152" s="446">
        <v>21.5</v>
      </c>
      <c r="I152" s="446">
        <v>3</v>
      </c>
      <c r="J152" s="446">
        <v>2</v>
      </c>
      <c r="K152" s="446">
        <v>1</v>
      </c>
      <c r="L152" s="446">
        <v>2</v>
      </c>
      <c r="M152" s="446">
        <v>1</v>
      </c>
      <c r="N152" s="446">
        <v>0</v>
      </c>
      <c r="O152" s="446">
        <v>1</v>
      </c>
      <c r="P152" s="446">
        <v>1</v>
      </c>
      <c r="Q152" s="446">
        <v>0</v>
      </c>
      <c r="R152" s="446">
        <v>0</v>
      </c>
      <c r="S152" s="446">
        <v>0</v>
      </c>
      <c r="T152" s="447">
        <v>999</v>
      </c>
      <c r="U152" s="446">
        <v>1837</v>
      </c>
      <c r="V152" s="446"/>
    </row>
    <row r="153" spans="1:22" ht="25.5" customHeight="1">
      <c r="A153" s="445">
        <v>46271</v>
      </c>
      <c r="B153" s="446" t="s">
        <v>21</v>
      </c>
      <c r="C153" s="446" t="s">
        <v>109</v>
      </c>
      <c r="D153" s="446">
        <v>9450</v>
      </c>
      <c r="E153" s="446">
        <v>0</v>
      </c>
      <c r="F153" s="446">
        <v>0</v>
      </c>
      <c r="G153" s="446">
        <v>0</v>
      </c>
      <c r="H153" s="446">
        <v>34</v>
      </c>
      <c r="I153" s="446">
        <v>3</v>
      </c>
      <c r="J153" s="446">
        <v>2</v>
      </c>
      <c r="K153" s="446">
        <v>1</v>
      </c>
      <c r="L153" s="446">
        <v>3</v>
      </c>
      <c r="M153" s="446">
        <v>2</v>
      </c>
      <c r="N153" s="446">
        <v>0</v>
      </c>
      <c r="O153" s="446">
        <v>2</v>
      </c>
      <c r="P153" s="446">
        <v>0</v>
      </c>
      <c r="Q153" s="446">
        <v>1.25</v>
      </c>
      <c r="R153" s="446">
        <v>0</v>
      </c>
      <c r="S153" s="446">
        <v>0</v>
      </c>
      <c r="T153" s="447">
        <v>0</v>
      </c>
      <c r="U153" s="446">
        <v>1820</v>
      </c>
      <c r="V153" s="446"/>
    </row>
    <row r="154" spans="1:22" ht="25.5" customHeight="1">
      <c r="A154" s="445">
        <v>46271</v>
      </c>
      <c r="B154" s="446" t="s">
        <v>21</v>
      </c>
      <c r="C154" s="446" t="s">
        <v>103</v>
      </c>
      <c r="D154" s="446">
        <v>450</v>
      </c>
      <c r="E154" s="446">
        <v>0</v>
      </c>
      <c r="F154" s="446">
        <v>0</v>
      </c>
      <c r="G154" s="446">
        <v>0</v>
      </c>
      <c r="H154" s="446">
        <v>0</v>
      </c>
      <c r="I154" s="446">
        <v>0</v>
      </c>
      <c r="J154" s="446">
        <v>0</v>
      </c>
      <c r="K154" s="446">
        <v>0</v>
      </c>
      <c r="L154" s="446">
        <v>0</v>
      </c>
      <c r="M154" s="446">
        <v>0</v>
      </c>
      <c r="N154" s="446">
        <v>0</v>
      </c>
      <c r="O154" s="446">
        <v>1</v>
      </c>
      <c r="P154" s="446">
        <v>0</v>
      </c>
      <c r="Q154" s="446">
        <v>0</v>
      </c>
      <c r="R154" s="446">
        <v>0</v>
      </c>
      <c r="S154" s="446">
        <v>0</v>
      </c>
      <c r="T154" s="447">
        <v>0</v>
      </c>
      <c r="U154" s="446">
        <v>0</v>
      </c>
      <c r="V154" s="446"/>
    </row>
    <row r="155" spans="1:22" ht="25.5" customHeight="1">
      <c r="A155" s="445">
        <v>46271</v>
      </c>
      <c r="B155" s="446" t="s">
        <v>21</v>
      </c>
      <c r="C155" s="446" t="s">
        <v>112</v>
      </c>
      <c r="D155" s="446">
        <v>0</v>
      </c>
      <c r="E155" s="446">
        <v>0</v>
      </c>
      <c r="F155" s="446">
        <v>0</v>
      </c>
      <c r="G155" s="446">
        <v>0</v>
      </c>
      <c r="H155" s="446">
        <v>0</v>
      </c>
      <c r="I155" s="446">
        <v>0</v>
      </c>
      <c r="J155" s="446">
        <v>0</v>
      </c>
      <c r="K155" s="446">
        <v>0</v>
      </c>
      <c r="L155" s="446">
        <v>0</v>
      </c>
      <c r="M155" s="446">
        <v>0</v>
      </c>
      <c r="N155" s="446">
        <v>0</v>
      </c>
      <c r="O155" s="446">
        <v>0</v>
      </c>
      <c r="P155" s="446">
        <v>0</v>
      </c>
      <c r="Q155" s="446">
        <v>0</v>
      </c>
      <c r="R155" s="446">
        <v>0</v>
      </c>
      <c r="S155" s="446">
        <v>0</v>
      </c>
      <c r="T155" s="447">
        <v>0</v>
      </c>
      <c r="U155" s="446">
        <v>0</v>
      </c>
      <c r="V155" s="446"/>
    </row>
    <row r="156" spans="1:22" ht="25.5" customHeight="1">
      <c r="A156" s="445">
        <v>46272</v>
      </c>
      <c r="B156" s="446" t="s">
        <v>17</v>
      </c>
      <c r="C156" s="446" t="s">
        <v>96</v>
      </c>
      <c r="D156" s="446">
        <v>3070</v>
      </c>
      <c r="E156" s="446">
        <v>0</v>
      </c>
      <c r="F156" s="446">
        <v>0</v>
      </c>
      <c r="G156" s="446">
        <v>0</v>
      </c>
      <c r="H156" s="446">
        <v>13.25</v>
      </c>
      <c r="I156" s="446">
        <v>2</v>
      </c>
      <c r="J156" s="446">
        <v>1</v>
      </c>
      <c r="K156" s="446">
        <v>1</v>
      </c>
      <c r="L156" s="446">
        <v>1</v>
      </c>
      <c r="M156" s="446">
        <v>0</v>
      </c>
      <c r="N156" s="446">
        <v>0</v>
      </c>
      <c r="O156" s="446">
        <v>2</v>
      </c>
      <c r="P156" s="446">
        <v>2.5</v>
      </c>
      <c r="Q156" s="446">
        <v>0</v>
      </c>
      <c r="R156" s="446">
        <v>0</v>
      </c>
      <c r="S156" s="446">
        <v>0</v>
      </c>
      <c r="T156" s="447">
        <v>0</v>
      </c>
      <c r="U156" s="446">
        <v>50</v>
      </c>
      <c r="V156" s="446"/>
    </row>
    <row r="157" spans="1:22" ht="25.5" customHeight="1">
      <c r="A157" s="445">
        <v>46272</v>
      </c>
      <c r="B157" s="446" t="s">
        <v>17</v>
      </c>
      <c r="C157" s="446" t="s">
        <v>108</v>
      </c>
      <c r="D157" s="446">
        <v>5352.2</v>
      </c>
      <c r="E157" s="446">
        <v>0</v>
      </c>
      <c r="F157" s="446">
        <v>0</v>
      </c>
      <c r="G157" s="446">
        <v>0</v>
      </c>
      <c r="H157" s="446">
        <v>15.5</v>
      </c>
      <c r="I157" s="446">
        <v>4</v>
      </c>
      <c r="J157" s="446">
        <v>1</v>
      </c>
      <c r="K157" s="446">
        <v>0</v>
      </c>
      <c r="L157" s="446">
        <v>0</v>
      </c>
      <c r="M157" s="446">
        <v>0</v>
      </c>
      <c r="N157" s="446">
        <v>0</v>
      </c>
      <c r="O157" s="446">
        <v>2</v>
      </c>
      <c r="P157" s="446">
        <v>1</v>
      </c>
      <c r="Q157" s="446">
        <v>0</v>
      </c>
      <c r="R157" s="446">
        <v>0</v>
      </c>
      <c r="S157" s="446">
        <v>0</v>
      </c>
      <c r="T157" s="447">
        <v>0</v>
      </c>
      <c r="U157" s="446">
        <v>50</v>
      </c>
      <c r="V157" s="446"/>
    </row>
    <row r="158" spans="1:22" ht="25.5" customHeight="1">
      <c r="A158" s="445">
        <v>46272</v>
      </c>
      <c r="B158" s="446" t="s">
        <v>17</v>
      </c>
      <c r="C158" s="446" t="s">
        <v>101</v>
      </c>
      <c r="D158" s="446">
        <v>1160</v>
      </c>
      <c r="E158" s="446">
        <v>0</v>
      </c>
      <c r="F158" s="446">
        <v>0</v>
      </c>
      <c r="G158" s="446">
        <v>0</v>
      </c>
      <c r="H158" s="446">
        <v>8.5</v>
      </c>
      <c r="I158" s="446">
        <v>1</v>
      </c>
      <c r="J158" s="446">
        <v>1</v>
      </c>
      <c r="K158" s="446">
        <v>0</v>
      </c>
      <c r="L158" s="446">
        <v>1</v>
      </c>
      <c r="M158" s="446">
        <v>0</v>
      </c>
      <c r="N158" s="446">
        <v>0</v>
      </c>
      <c r="O158" s="446">
        <v>1</v>
      </c>
      <c r="P158" s="446">
        <v>1.25</v>
      </c>
      <c r="Q158" s="446">
        <v>0</v>
      </c>
      <c r="R158" s="446">
        <v>0</v>
      </c>
      <c r="S158" s="446">
        <v>0</v>
      </c>
      <c r="T158" s="447">
        <v>0</v>
      </c>
      <c r="U158" s="446">
        <v>0</v>
      </c>
      <c r="V158" s="446"/>
    </row>
    <row r="159" spans="1:22" ht="25.5" customHeight="1">
      <c r="A159" s="445">
        <v>46272</v>
      </c>
      <c r="B159" s="446" t="s">
        <v>17</v>
      </c>
      <c r="C159" s="446" t="s">
        <v>106</v>
      </c>
      <c r="D159" s="446">
        <v>640</v>
      </c>
      <c r="E159" s="446">
        <v>0</v>
      </c>
      <c r="F159" s="446">
        <v>0</v>
      </c>
      <c r="G159" s="446">
        <v>0</v>
      </c>
      <c r="H159" s="446">
        <v>0</v>
      </c>
      <c r="I159" s="446">
        <v>0</v>
      </c>
      <c r="J159" s="446">
        <v>0</v>
      </c>
      <c r="K159" s="446">
        <v>0</v>
      </c>
      <c r="L159" s="446">
        <v>0</v>
      </c>
      <c r="M159" s="446">
        <v>0</v>
      </c>
      <c r="N159" s="446">
        <v>0</v>
      </c>
      <c r="O159" s="446">
        <v>0</v>
      </c>
      <c r="P159" s="446">
        <v>0</v>
      </c>
      <c r="Q159" s="446">
        <v>0</v>
      </c>
      <c r="R159" s="446">
        <v>0</v>
      </c>
      <c r="S159" s="446">
        <v>0</v>
      </c>
      <c r="T159" s="447">
        <v>0</v>
      </c>
      <c r="U159" s="446">
        <v>0</v>
      </c>
      <c r="V159" s="446"/>
    </row>
    <row r="160" spans="1:22" ht="25.5" customHeight="1">
      <c r="A160" s="445">
        <v>46272</v>
      </c>
      <c r="B160" s="446" t="s">
        <v>22</v>
      </c>
      <c r="C160" s="446" t="s">
        <v>23</v>
      </c>
      <c r="D160" s="446">
        <v>0</v>
      </c>
      <c r="E160" s="446">
        <v>0</v>
      </c>
      <c r="F160" s="446">
        <v>0</v>
      </c>
      <c r="G160" s="446">
        <v>0</v>
      </c>
      <c r="H160" s="446">
        <v>0</v>
      </c>
      <c r="I160" s="446">
        <v>0</v>
      </c>
      <c r="J160" s="446">
        <v>0</v>
      </c>
      <c r="K160" s="446">
        <v>0</v>
      </c>
      <c r="L160" s="446">
        <v>0</v>
      </c>
      <c r="M160" s="446">
        <v>0</v>
      </c>
      <c r="N160" s="446">
        <v>0</v>
      </c>
      <c r="O160" s="446">
        <v>0</v>
      </c>
      <c r="P160" s="446">
        <v>0</v>
      </c>
      <c r="Q160" s="446">
        <v>0</v>
      </c>
      <c r="R160" s="446">
        <v>0</v>
      </c>
      <c r="S160" s="446">
        <v>0</v>
      </c>
      <c r="T160" s="447">
        <v>0</v>
      </c>
      <c r="U160" s="446">
        <v>0</v>
      </c>
      <c r="V160" s="446"/>
    </row>
    <row r="161" spans="1:22" ht="25.5" customHeight="1">
      <c r="A161" s="445">
        <v>46272</v>
      </c>
      <c r="B161" s="446" t="s">
        <v>18</v>
      </c>
      <c r="C161" s="446" t="s">
        <v>97</v>
      </c>
      <c r="D161" s="446">
        <v>0</v>
      </c>
      <c r="E161" s="446">
        <v>0</v>
      </c>
      <c r="F161" s="446">
        <v>0</v>
      </c>
      <c r="G161" s="446">
        <v>0</v>
      </c>
      <c r="H161" s="446">
        <v>0</v>
      </c>
      <c r="I161" s="446">
        <v>0</v>
      </c>
      <c r="J161" s="446">
        <v>0</v>
      </c>
      <c r="K161" s="446">
        <v>0</v>
      </c>
      <c r="L161" s="446">
        <v>0</v>
      </c>
      <c r="M161" s="446">
        <v>0</v>
      </c>
      <c r="N161" s="446">
        <v>0</v>
      </c>
      <c r="O161" s="446">
        <v>0</v>
      </c>
      <c r="P161" s="446">
        <v>0</v>
      </c>
      <c r="Q161" s="446">
        <v>0</v>
      </c>
      <c r="R161" s="446">
        <v>0</v>
      </c>
      <c r="S161" s="446">
        <v>0</v>
      </c>
      <c r="T161" s="447">
        <v>0</v>
      </c>
      <c r="U161" s="446">
        <v>0</v>
      </c>
      <c r="V161" s="446"/>
    </row>
    <row r="162" spans="1:22" ht="25.5" customHeight="1">
      <c r="A162" s="445">
        <v>46272</v>
      </c>
      <c r="B162" s="446" t="s">
        <v>18</v>
      </c>
      <c r="C162" s="446" t="s">
        <v>98</v>
      </c>
      <c r="D162" s="446">
        <v>8039</v>
      </c>
      <c r="E162" s="446">
        <v>0</v>
      </c>
      <c r="F162" s="446">
        <v>0</v>
      </c>
      <c r="G162" s="446">
        <v>0</v>
      </c>
      <c r="H162" s="446">
        <v>21.5</v>
      </c>
      <c r="I162" s="446">
        <v>3</v>
      </c>
      <c r="J162" s="446">
        <v>1</v>
      </c>
      <c r="K162" s="446">
        <v>0</v>
      </c>
      <c r="L162" s="446">
        <v>2</v>
      </c>
      <c r="M162" s="446">
        <v>1</v>
      </c>
      <c r="N162" s="446">
        <v>0</v>
      </c>
      <c r="O162" s="446">
        <v>1</v>
      </c>
      <c r="P162" s="446">
        <v>0</v>
      </c>
      <c r="Q162" s="446">
        <v>0</v>
      </c>
      <c r="R162" s="446">
        <v>0</v>
      </c>
      <c r="S162" s="446">
        <v>0</v>
      </c>
      <c r="T162" s="447">
        <v>0</v>
      </c>
      <c r="U162" s="446">
        <v>0</v>
      </c>
      <c r="V162" s="446"/>
    </row>
    <row r="163" spans="1:22" ht="25.5" customHeight="1">
      <c r="A163" s="445">
        <v>46272</v>
      </c>
      <c r="B163" s="446" t="s">
        <v>18</v>
      </c>
      <c r="C163" s="446" t="s">
        <v>110</v>
      </c>
      <c r="D163" s="446">
        <v>6000</v>
      </c>
      <c r="E163" s="446">
        <v>0</v>
      </c>
      <c r="F163" s="446">
        <v>0</v>
      </c>
      <c r="G163" s="446">
        <v>0</v>
      </c>
      <c r="H163" s="446">
        <v>16.5</v>
      </c>
      <c r="I163" s="446">
        <v>3</v>
      </c>
      <c r="J163" s="446">
        <v>2</v>
      </c>
      <c r="K163" s="446">
        <v>2</v>
      </c>
      <c r="L163" s="446">
        <v>1</v>
      </c>
      <c r="M163" s="446">
        <v>0</v>
      </c>
      <c r="N163" s="446">
        <v>1</v>
      </c>
      <c r="O163" s="446">
        <v>2</v>
      </c>
      <c r="P163" s="446">
        <v>0</v>
      </c>
      <c r="Q163" s="446">
        <v>0</v>
      </c>
      <c r="R163" s="446">
        <v>0</v>
      </c>
      <c r="S163" s="446">
        <v>0</v>
      </c>
      <c r="T163" s="447">
        <v>0</v>
      </c>
      <c r="U163" s="446">
        <v>0</v>
      </c>
      <c r="V163" s="446"/>
    </row>
    <row r="164" spans="1:22" ht="25.5" customHeight="1">
      <c r="A164" s="445">
        <v>46272</v>
      </c>
      <c r="B164" s="446" t="s">
        <v>19</v>
      </c>
      <c r="C164" s="446" t="s">
        <v>99</v>
      </c>
      <c r="D164" s="446">
        <v>6756.3</v>
      </c>
      <c r="E164" s="446">
        <v>0</v>
      </c>
      <c r="F164" s="446">
        <v>0</v>
      </c>
      <c r="G164" s="446">
        <v>0</v>
      </c>
      <c r="H164" s="446">
        <v>19</v>
      </c>
      <c r="I164" s="446">
        <v>2</v>
      </c>
      <c r="J164" s="446">
        <v>2</v>
      </c>
      <c r="K164" s="446">
        <v>1</v>
      </c>
      <c r="L164" s="446">
        <v>1</v>
      </c>
      <c r="M164" s="446">
        <v>1</v>
      </c>
      <c r="N164" s="446">
        <v>1</v>
      </c>
      <c r="O164" s="446">
        <v>1</v>
      </c>
      <c r="P164" s="446">
        <v>1</v>
      </c>
      <c r="Q164" s="446">
        <v>0</v>
      </c>
      <c r="R164" s="446">
        <v>0</v>
      </c>
      <c r="S164" s="446">
        <v>0</v>
      </c>
      <c r="T164" s="447">
        <v>0</v>
      </c>
      <c r="U164" s="446">
        <v>1073</v>
      </c>
      <c r="V164" s="446"/>
    </row>
    <row r="165" spans="1:22" ht="25.5" customHeight="1">
      <c r="A165" s="445">
        <v>46272</v>
      </c>
      <c r="B165" s="446" t="s">
        <v>19</v>
      </c>
      <c r="C165" s="446" t="s">
        <v>88</v>
      </c>
      <c r="D165" s="446">
        <v>6092</v>
      </c>
      <c r="E165" s="446">
        <v>0</v>
      </c>
      <c r="F165" s="446">
        <v>0</v>
      </c>
      <c r="G165" s="446">
        <v>0</v>
      </c>
      <c r="H165" s="446">
        <v>8.5</v>
      </c>
      <c r="I165" s="446">
        <v>1</v>
      </c>
      <c r="J165" s="446">
        <v>1</v>
      </c>
      <c r="K165" s="446">
        <v>0</v>
      </c>
      <c r="L165" s="446">
        <v>0</v>
      </c>
      <c r="M165" s="446">
        <v>1</v>
      </c>
      <c r="N165" s="446">
        <v>0</v>
      </c>
      <c r="O165" s="446">
        <v>2</v>
      </c>
      <c r="P165" s="446">
        <v>2</v>
      </c>
      <c r="Q165" s="446">
        <v>0</v>
      </c>
      <c r="R165" s="446">
        <v>0</v>
      </c>
      <c r="S165" s="446">
        <v>0</v>
      </c>
      <c r="T165" s="447">
        <v>0</v>
      </c>
      <c r="U165" s="446">
        <v>1906</v>
      </c>
      <c r="V165" s="446"/>
    </row>
    <row r="166" spans="1:22" ht="25.5" customHeight="1">
      <c r="A166" s="445">
        <v>46272</v>
      </c>
      <c r="B166" s="446" t="s">
        <v>19</v>
      </c>
      <c r="C166" s="446" t="s">
        <v>107</v>
      </c>
      <c r="D166" s="446">
        <v>625</v>
      </c>
      <c r="E166" s="446">
        <v>0</v>
      </c>
      <c r="F166" s="446">
        <v>0</v>
      </c>
      <c r="G166" s="446">
        <v>0</v>
      </c>
      <c r="H166" s="446">
        <v>1.75</v>
      </c>
      <c r="I166" s="446">
        <v>1</v>
      </c>
      <c r="J166" s="446">
        <v>0</v>
      </c>
      <c r="K166" s="446">
        <v>1</v>
      </c>
      <c r="L166" s="446">
        <v>0</v>
      </c>
      <c r="M166" s="446">
        <v>0</v>
      </c>
      <c r="N166" s="446">
        <v>1</v>
      </c>
      <c r="O166" s="446">
        <v>0</v>
      </c>
      <c r="P166" s="446">
        <v>1</v>
      </c>
      <c r="Q166" s="446">
        <v>0</v>
      </c>
      <c r="R166" s="446">
        <v>0</v>
      </c>
      <c r="S166" s="446">
        <v>0</v>
      </c>
      <c r="T166" s="447">
        <v>0</v>
      </c>
      <c r="U166" s="446">
        <v>615</v>
      </c>
      <c r="V166" s="446"/>
    </row>
    <row r="167" spans="1:22" ht="25.5" customHeight="1">
      <c r="A167" s="445">
        <v>46272</v>
      </c>
      <c r="B167" s="446" t="s">
        <v>20</v>
      </c>
      <c r="C167" s="446" t="s">
        <v>93</v>
      </c>
      <c r="D167" s="446">
        <v>8588.92</v>
      </c>
      <c r="E167" s="446">
        <v>0</v>
      </c>
      <c r="F167" s="446">
        <v>0</v>
      </c>
      <c r="G167" s="446">
        <v>0</v>
      </c>
      <c r="H167" s="446">
        <v>25.5</v>
      </c>
      <c r="I167" s="446">
        <v>3</v>
      </c>
      <c r="J167" s="446">
        <v>1</v>
      </c>
      <c r="K167" s="446">
        <v>0</v>
      </c>
      <c r="L167" s="446">
        <v>2</v>
      </c>
      <c r="M167" s="446">
        <v>2</v>
      </c>
      <c r="N167" s="446">
        <v>1</v>
      </c>
      <c r="O167" s="446">
        <v>2</v>
      </c>
      <c r="P167" s="446">
        <v>1.5</v>
      </c>
      <c r="Q167" s="446">
        <v>0</v>
      </c>
      <c r="R167" s="446">
        <v>0</v>
      </c>
      <c r="S167" s="446">
        <v>0</v>
      </c>
      <c r="T167" s="447">
        <v>0</v>
      </c>
      <c r="U167" s="446">
        <v>0</v>
      </c>
      <c r="V167" s="446"/>
    </row>
    <row r="168" spans="1:22" ht="25.5" customHeight="1">
      <c r="A168" s="445">
        <v>46272</v>
      </c>
      <c r="B168" s="446" t="s">
        <v>20</v>
      </c>
      <c r="C168" s="446" t="s">
        <v>105</v>
      </c>
      <c r="D168" s="446">
        <v>3312</v>
      </c>
      <c r="E168" s="446">
        <v>0</v>
      </c>
      <c r="F168" s="446">
        <v>0</v>
      </c>
      <c r="G168" s="446">
        <v>0</v>
      </c>
      <c r="H168" s="446">
        <v>22</v>
      </c>
      <c r="I168" s="446">
        <v>6</v>
      </c>
      <c r="J168" s="446">
        <v>2</v>
      </c>
      <c r="K168" s="446">
        <v>0</v>
      </c>
      <c r="L168" s="446">
        <v>1</v>
      </c>
      <c r="M168" s="446">
        <v>1</v>
      </c>
      <c r="N168" s="446">
        <v>2</v>
      </c>
      <c r="O168" s="446">
        <v>2</v>
      </c>
      <c r="P168" s="446">
        <v>2.5</v>
      </c>
      <c r="Q168" s="446">
        <v>0</v>
      </c>
      <c r="R168" s="446">
        <v>0</v>
      </c>
      <c r="S168" s="446">
        <v>0</v>
      </c>
      <c r="T168" s="447">
        <v>0</v>
      </c>
      <c r="U168" s="446">
        <v>455</v>
      </c>
      <c r="V168" s="446"/>
    </row>
    <row r="169" spans="1:22" ht="25.5" customHeight="1">
      <c r="A169" s="445">
        <v>46272</v>
      </c>
      <c r="B169" s="446" t="s">
        <v>20</v>
      </c>
      <c r="C169" s="446" t="s">
        <v>102</v>
      </c>
      <c r="D169" s="446">
        <v>0</v>
      </c>
      <c r="E169" s="446">
        <v>0</v>
      </c>
      <c r="F169" s="446">
        <v>0</v>
      </c>
      <c r="G169" s="446">
        <v>0</v>
      </c>
      <c r="H169" s="446">
        <v>0</v>
      </c>
      <c r="I169" s="446">
        <v>0</v>
      </c>
      <c r="J169" s="446">
        <v>0</v>
      </c>
      <c r="K169" s="446">
        <v>0</v>
      </c>
      <c r="L169" s="446">
        <v>0</v>
      </c>
      <c r="M169" s="446">
        <v>0</v>
      </c>
      <c r="N169" s="446">
        <v>0</v>
      </c>
      <c r="O169" s="446">
        <v>0</v>
      </c>
      <c r="P169" s="446">
        <v>0</v>
      </c>
      <c r="Q169" s="446">
        <v>0</v>
      </c>
      <c r="R169" s="446">
        <v>0</v>
      </c>
      <c r="S169" s="446">
        <v>0</v>
      </c>
      <c r="T169" s="447">
        <v>0</v>
      </c>
      <c r="U169" s="446">
        <v>0</v>
      </c>
      <c r="V169" s="446"/>
    </row>
    <row r="170" spans="1:22" ht="25.5" customHeight="1">
      <c r="A170" s="445">
        <v>46272</v>
      </c>
      <c r="B170" s="446" t="s">
        <v>20</v>
      </c>
      <c r="C170" s="446" t="s">
        <v>111</v>
      </c>
      <c r="D170" s="446">
        <v>3410</v>
      </c>
      <c r="E170" s="446">
        <v>0</v>
      </c>
      <c r="F170" s="446">
        <v>0</v>
      </c>
      <c r="G170" s="446">
        <v>0</v>
      </c>
      <c r="H170" s="446">
        <v>22</v>
      </c>
      <c r="I170" s="446">
        <v>2</v>
      </c>
      <c r="J170" s="446">
        <v>1</v>
      </c>
      <c r="K170" s="446">
        <v>1</v>
      </c>
      <c r="L170" s="446">
        <v>2</v>
      </c>
      <c r="M170" s="446">
        <v>1</v>
      </c>
      <c r="N170" s="446">
        <v>0</v>
      </c>
      <c r="O170" s="446">
        <v>2</v>
      </c>
      <c r="P170" s="446">
        <v>0</v>
      </c>
      <c r="Q170" s="446">
        <v>0</v>
      </c>
      <c r="R170" s="446">
        <v>0</v>
      </c>
      <c r="S170" s="446">
        <v>0</v>
      </c>
      <c r="T170" s="447">
        <v>0</v>
      </c>
      <c r="U170" s="446">
        <v>830</v>
      </c>
      <c r="V170" s="446"/>
    </row>
    <row r="171" spans="1:22" ht="25.5" customHeight="1">
      <c r="A171" s="445">
        <v>46272</v>
      </c>
      <c r="B171" s="446" t="s">
        <v>21</v>
      </c>
      <c r="C171" s="446" t="s">
        <v>90</v>
      </c>
      <c r="D171" s="446">
        <v>14378</v>
      </c>
      <c r="E171" s="446">
        <v>10.5</v>
      </c>
      <c r="F171" s="446">
        <v>1</v>
      </c>
      <c r="G171" s="446">
        <v>10.5</v>
      </c>
      <c r="H171" s="446">
        <v>13.5</v>
      </c>
      <c r="I171" s="446">
        <v>3</v>
      </c>
      <c r="J171" s="446">
        <v>1</v>
      </c>
      <c r="K171" s="446">
        <v>2</v>
      </c>
      <c r="L171" s="446">
        <v>1</v>
      </c>
      <c r="M171" s="446">
        <v>1</v>
      </c>
      <c r="N171" s="446">
        <v>1</v>
      </c>
      <c r="O171" s="446">
        <v>1</v>
      </c>
      <c r="P171" s="446">
        <v>0</v>
      </c>
      <c r="Q171" s="446">
        <v>1.5</v>
      </c>
      <c r="R171" s="446">
        <v>0</v>
      </c>
      <c r="S171" s="446">
        <v>0</v>
      </c>
      <c r="T171" s="447">
        <v>0</v>
      </c>
      <c r="U171" s="446">
        <v>490</v>
      </c>
      <c r="V171" s="446"/>
    </row>
    <row r="172" spans="1:22" ht="25.5" customHeight="1">
      <c r="A172" s="445">
        <v>46272</v>
      </c>
      <c r="B172" s="446" t="s">
        <v>21</v>
      </c>
      <c r="C172" s="446" t="s">
        <v>109</v>
      </c>
      <c r="D172" s="446">
        <v>4202</v>
      </c>
      <c r="E172" s="446">
        <v>8.5</v>
      </c>
      <c r="F172" s="446">
        <v>1</v>
      </c>
      <c r="G172" s="446">
        <v>8.5</v>
      </c>
      <c r="H172" s="446">
        <v>10.5</v>
      </c>
      <c r="I172" s="446">
        <v>1</v>
      </c>
      <c r="J172" s="446">
        <v>1</v>
      </c>
      <c r="K172" s="446">
        <v>1</v>
      </c>
      <c r="L172" s="446">
        <v>1</v>
      </c>
      <c r="M172" s="446">
        <v>1</v>
      </c>
      <c r="N172" s="446">
        <v>1</v>
      </c>
      <c r="O172" s="446">
        <v>1</v>
      </c>
      <c r="P172" s="446">
        <v>1</v>
      </c>
      <c r="Q172" s="446">
        <v>0</v>
      </c>
      <c r="R172" s="446">
        <v>0</v>
      </c>
      <c r="S172" s="446">
        <v>0</v>
      </c>
      <c r="T172" s="447">
        <v>0</v>
      </c>
      <c r="U172" s="446">
        <v>818</v>
      </c>
      <c r="V172" s="446"/>
    </row>
    <row r="173" spans="1:22" ht="25.5" customHeight="1">
      <c r="A173" s="445">
        <v>46272</v>
      </c>
      <c r="B173" s="446" t="s">
        <v>21</v>
      </c>
      <c r="C173" s="446" t="s">
        <v>103</v>
      </c>
      <c r="D173" s="446">
        <v>0</v>
      </c>
      <c r="E173" s="446">
        <v>0</v>
      </c>
      <c r="F173" s="446">
        <v>0</v>
      </c>
      <c r="G173" s="446">
        <v>0</v>
      </c>
      <c r="H173" s="446">
        <v>0</v>
      </c>
      <c r="I173" s="446">
        <v>0</v>
      </c>
      <c r="J173" s="446">
        <v>0</v>
      </c>
      <c r="K173" s="446">
        <v>0</v>
      </c>
      <c r="L173" s="446">
        <v>0</v>
      </c>
      <c r="M173" s="446">
        <v>0</v>
      </c>
      <c r="N173" s="446">
        <v>0</v>
      </c>
      <c r="O173" s="446">
        <v>0</v>
      </c>
      <c r="P173" s="446">
        <v>0</v>
      </c>
      <c r="Q173" s="446">
        <v>0</v>
      </c>
      <c r="R173" s="446">
        <v>0</v>
      </c>
      <c r="S173" s="446">
        <v>0</v>
      </c>
      <c r="T173" s="447">
        <v>0</v>
      </c>
      <c r="U173" s="446">
        <v>0</v>
      </c>
      <c r="V173" s="446"/>
    </row>
    <row r="174" spans="1:22" ht="25.5" customHeight="1">
      <c r="A174" s="445">
        <v>46272</v>
      </c>
      <c r="B174" s="446" t="s">
        <v>21</v>
      </c>
      <c r="C174" s="446" t="s">
        <v>112</v>
      </c>
      <c r="D174" s="446">
        <v>3600</v>
      </c>
      <c r="E174" s="446">
        <v>0</v>
      </c>
      <c r="F174" s="446">
        <v>0</v>
      </c>
      <c r="G174" s="446">
        <v>0</v>
      </c>
      <c r="H174" s="446">
        <v>3.5</v>
      </c>
      <c r="I174" s="446">
        <v>1</v>
      </c>
      <c r="J174" s="446">
        <v>0</v>
      </c>
      <c r="K174" s="446">
        <v>0</v>
      </c>
      <c r="L174" s="446">
        <v>0</v>
      </c>
      <c r="M174" s="446">
        <v>0</v>
      </c>
      <c r="N174" s="446">
        <v>0</v>
      </c>
      <c r="O174" s="446">
        <v>0</v>
      </c>
      <c r="P174" s="446">
        <v>0</v>
      </c>
      <c r="Q174" s="446">
        <v>0</v>
      </c>
      <c r="R174" s="446">
        <v>0</v>
      </c>
      <c r="S174" s="446">
        <v>0</v>
      </c>
      <c r="T174" s="447">
        <v>0</v>
      </c>
      <c r="U174" s="446">
        <v>100</v>
      </c>
      <c r="V174" s="446"/>
    </row>
    <row r="175" spans="1:22" ht="25.5" customHeight="1">
      <c r="A175" s="445">
        <v>46273</v>
      </c>
      <c r="B175" s="446" t="s">
        <v>17</v>
      </c>
      <c r="C175" s="446" t="s">
        <v>96</v>
      </c>
      <c r="D175" s="446">
        <v>0</v>
      </c>
      <c r="E175" s="446">
        <v>0</v>
      </c>
      <c r="F175" s="446">
        <v>0</v>
      </c>
      <c r="G175" s="446">
        <v>0</v>
      </c>
      <c r="H175" s="446">
        <v>0</v>
      </c>
      <c r="I175" s="446">
        <v>0</v>
      </c>
      <c r="J175" s="446">
        <v>0</v>
      </c>
      <c r="K175" s="446">
        <v>0</v>
      </c>
      <c r="L175" s="446">
        <v>0</v>
      </c>
      <c r="M175" s="446">
        <v>0</v>
      </c>
      <c r="N175" s="446">
        <v>0</v>
      </c>
      <c r="O175" s="446">
        <v>0</v>
      </c>
      <c r="P175" s="446">
        <v>0</v>
      </c>
      <c r="Q175" s="446">
        <v>0</v>
      </c>
      <c r="R175" s="446">
        <v>0</v>
      </c>
      <c r="S175" s="446">
        <v>0</v>
      </c>
      <c r="T175" s="447">
        <v>0</v>
      </c>
      <c r="U175" s="446">
        <v>0</v>
      </c>
      <c r="V175" s="446"/>
    </row>
    <row r="176" spans="1:22" ht="25.5" customHeight="1">
      <c r="A176" s="445">
        <v>46273</v>
      </c>
      <c r="B176" s="446" t="s">
        <v>17</v>
      </c>
      <c r="C176" s="446" t="s">
        <v>108</v>
      </c>
      <c r="D176" s="446">
        <v>850</v>
      </c>
      <c r="E176" s="446">
        <v>0</v>
      </c>
      <c r="F176" s="446">
        <v>0</v>
      </c>
      <c r="G176" s="446">
        <v>0</v>
      </c>
      <c r="H176" s="446">
        <v>1.5</v>
      </c>
      <c r="I176" s="446">
        <v>0</v>
      </c>
      <c r="J176" s="446">
        <v>0</v>
      </c>
      <c r="K176" s="446">
        <v>1</v>
      </c>
      <c r="L176" s="446">
        <v>0</v>
      </c>
      <c r="M176" s="446">
        <v>0</v>
      </c>
      <c r="N176" s="446">
        <v>0</v>
      </c>
      <c r="O176" s="446">
        <v>1</v>
      </c>
      <c r="P176" s="446">
        <v>0</v>
      </c>
      <c r="Q176" s="446">
        <v>0</v>
      </c>
      <c r="R176" s="446">
        <v>0</v>
      </c>
      <c r="S176" s="446">
        <v>0</v>
      </c>
      <c r="T176" s="447">
        <v>0</v>
      </c>
      <c r="U176" s="446">
        <v>0</v>
      </c>
      <c r="V176" s="446"/>
    </row>
    <row r="177" spans="1:22" ht="25.5" customHeight="1">
      <c r="A177" s="445">
        <v>46273</v>
      </c>
      <c r="B177" s="446" t="s">
        <v>17</v>
      </c>
      <c r="C177" s="446" t="s">
        <v>101</v>
      </c>
      <c r="D177" s="446">
        <v>400</v>
      </c>
      <c r="E177" s="446">
        <v>0</v>
      </c>
      <c r="F177" s="446">
        <v>0</v>
      </c>
      <c r="G177" s="446">
        <v>0</v>
      </c>
      <c r="H177" s="446">
        <v>3</v>
      </c>
      <c r="I177" s="446">
        <v>1</v>
      </c>
      <c r="J177" s="446">
        <v>0</v>
      </c>
      <c r="K177" s="446">
        <v>0</v>
      </c>
      <c r="L177" s="446">
        <v>0</v>
      </c>
      <c r="M177" s="446">
        <v>0</v>
      </c>
      <c r="N177" s="446">
        <v>0</v>
      </c>
      <c r="O177" s="446">
        <v>0</v>
      </c>
      <c r="P177" s="446">
        <v>0</v>
      </c>
      <c r="Q177" s="446">
        <v>0</v>
      </c>
      <c r="R177" s="446">
        <v>0</v>
      </c>
      <c r="S177" s="446">
        <v>0</v>
      </c>
      <c r="T177" s="447">
        <v>0</v>
      </c>
      <c r="U177" s="446">
        <v>0</v>
      </c>
      <c r="V177" s="446"/>
    </row>
    <row r="178" spans="1:22" ht="25.5" customHeight="1">
      <c r="A178" s="445">
        <v>46273</v>
      </c>
      <c r="B178" s="446" t="s">
        <v>17</v>
      </c>
      <c r="C178" s="446" t="s">
        <v>106</v>
      </c>
      <c r="D178" s="446">
        <v>1200</v>
      </c>
      <c r="E178" s="446">
        <v>0</v>
      </c>
      <c r="F178" s="446">
        <v>0</v>
      </c>
      <c r="G178" s="446">
        <v>0</v>
      </c>
      <c r="H178" s="446">
        <v>3</v>
      </c>
      <c r="I178" s="446">
        <v>1</v>
      </c>
      <c r="J178" s="446">
        <v>0</v>
      </c>
      <c r="K178" s="446">
        <v>1</v>
      </c>
      <c r="L178" s="446">
        <v>0</v>
      </c>
      <c r="M178" s="446">
        <v>0</v>
      </c>
      <c r="N178" s="446">
        <v>0</v>
      </c>
      <c r="O178" s="446">
        <v>0</v>
      </c>
      <c r="P178" s="446">
        <v>0</v>
      </c>
      <c r="Q178" s="446">
        <v>0</v>
      </c>
      <c r="R178" s="446">
        <v>0</v>
      </c>
      <c r="S178" s="446">
        <v>0</v>
      </c>
      <c r="T178" s="447">
        <v>0</v>
      </c>
      <c r="U178" s="446">
        <v>50</v>
      </c>
      <c r="V178" s="446"/>
    </row>
    <row r="179" spans="1:22" ht="25.5" customHeight="1">
      <c r="A179" s="445">
        <v>46273</v>
      </c>
      <c r="B179" s="446" t="s">
        <v>22</v>
      </c>
      <c r="C179" s="446" t="s">
        <v>23</v>
      </c>
      <c r="D179" s="446">
        <v>11165</v>
      </c>
      <c r="E179" s="446">
        <v>0</v>
      </c>
      <c r="F179" s="446">
        <v>0</v>
      </c>
      <c r="G179" s="446">
        <v>0</v>
      </c>
      <c r="H179" s="446">
        <v>33.5</v>
      </c>
      <c r="I179" s="446">
        <v>2</v>
      </c>
      <c r="J179" s="446">
        <v>2</v>
      </c>
      <c r="K179" s="446">
        <v>0</v>
      </c>
      <c r="L179" s="446">
        <v>1</v>
      </c>
      <c r="M179" s="446">
        <v>1</v>
      </c>
      <c r="N179" s="446">
        <v>1</v>
      </c>
      <c r="O179" s="446">
        <v>1</v>
      </c>
      <c r="P179" s="446">
        <v>1</v>
      </c>
      <c r="Q179" s="446">
        <v>0</v>
      </c>
      <c r="R179" s="446">
        <v>0</v>
      </c>
      <c r="S179" s="446">
        <v>0</v>
      </c>
      <c r="T179" s="447">
        <v>0</v>
      </c>
      <c r="U179" s="446">
        <v>1313</v>
      </c>
      <c r="V179" s="446"/>
    </row>
    <row r="180" spans="1:22" ht="25.5" customHeight="1">
      <c r="A180" s="445">
        <v>46273</v>
      </c>
      <c r="B180" s="446" t="s">
        <v>18</v>
      </c>
      <c r="C180" s="446" t="s">
        <v>97</v>
      </c>
      <c r="D180" s="446">
        <v>4868</v>
      </c>
      <c r="E180" s="446">
        <v>0</v>
      </c>
      <c r="F180" s="446">
        <v>0</v>
      </c>
      <c r="G180" s="446">
        <v>0</v>
      </c>
      <c r="H180" s="446">
        <v>19</v>
      </c>
      <c r="I180" s="446">
        <v>2</v>
      </c>
      <c r="J180" s="446">
        <v>1</v>
      </c>
      <c r="K180" s="446">
        <v>0</v>
      </c>
      <c r="L180" s="446">
        <v>2</v>
      </c>
      <c r="M180" s="446">
        <v>2</v>
      </c>
      <c r="N180" s="446">
        <v>0</v>
      </c>
      <c r="O180" s="446">
        <v>2</v>
      </c>
      <c r="P180" s="446">
        <v>1</v>
      </c>
      <c r="Q180" s="446">
        <v>0</v>
      </c>
      <c r="R180" s="446">
        <v>0</v>
      </c>
      <c r="S180" s="446">
        <v>0</v>
      </c>
      <c r="T180" s="447">
        <v>0</v>
      </c>
      <c r="U180" s="446">
        <v>192</v>
      </c>
      <c r="V180" s="446"/>
    </row>
    <row r="181" spans="1:22" ht="25.5" customHeight="1">
      <c r="A181" s="445">
        <v>46273</v>
      </c>
      <c r="B181" s="446" t="s">
        <v>18</v>
      </c>
      <c r="C181" s="446" t="s">
        <v>98</v>
      </c>
      <c r="D181" s="446">
        <v>0</v>
      </c>
      <c r="E181" s="446">
        <v>0</v>
      </c>
      <c r="F181" s="446">
        <v>0</v>
      </c>
      <c r="G181" s="446">
        <v>0</v>
      </c>
      <c r="H181" s="446">
        <v>0</v>
      </c>
      <c r="I181" s="446">
        <v>0</v>
      </c>
      <c r="J181" s="446">
        <v>0</v>
      </c>
      <c r="K181" s="446">
        <v>0</v>
      </c>
      <c r="L181" s="446">
        <v>0</v>
      </c>
      <c r="M181" s="446">
        <v>0</v>
      </c>
      <c r="N181" s="446">
        <v>0</v>
      </c>
      <c r="O181" s="446">
        <v>0</v>
      </c>
      <c r="P181" s="446">
        <v>0</v>
      </c>
      <c r="Q181" s="446">
        <v>0</v>
      </c>
      <c r="R181" s="446">
        <v>0</v>
      </c>
      <c r="S181" s="446">
        <v>0</v>
      </c>
      <c r="T181" s="447">
        <v>0</v>
      </c>
      <c r="U181" s="446">
        <v>0</v>
      </c>
      <c r="V181" s="446"/>
    </row>
    <row r="182" spans="1:22" ht="25.5" customHeight="1">
      <c r="A182" s="445">
        <v>46273</v>
      </c>
      <c r="B182" s="446" t="s">
        <v>18</v>
      </c>
      <c r="C182" s="446" t="s">
        <v>110</v>
      </c>
      <c r="D182" s="446">
        <v>2204</v>
      </c>
      <c r="E182" s="446">
        <v>0</v>
      </c>
      <c r="F182" s="446">
        <v>0</v>
      </c>
      <c r="G182" s="446">
        <v>0</v>
      </c>
      <c r="H182" s="446">
        <v>8.5</v>
      </c>
      <c r="I182" s="446">
        <v>2</v>
      </c>
      <c r="J182" s="446">
        <v>1</v>
      </c>
      <c r="K182" s="446">
        <v>1</v>
      </c>
      <c r="L182" s="446">
        <v>0</v>
      </c>
      <c r="M182" s="446">
        <v>0</v>
      </c>
      <c r="N182" s="446">
        <v>1</v>
      </c>
      <c r="O182" s="446">
        <v>2</v>
      </c>
      <c r="P182" s="446">
        <v>1</v>
      </c>
      <c r="Q182" s="446">
        <v>0</v>
      </c>
      <c r="R182" s="446">
        <v>0</v>
      </c>
      <c r="S182" s="446">
        <v>0</v>
      </c>
      <c r="T182" s="447">
        <v>0</v>
      </c>
      <c r="U182" s="446">
        <v>395</v>
      </c>
      <c r="V182" s="446"/>
    </row>
    <row r="183" spans="1:22" ht="25.5" customHeight="1">
      <c r="A183" s="445">
        <v>46273</v>
      </c>
      <c r="B183" s="446" t="s">
        <v>19</v>
      </c>
      <c r="C183" s="446" t="s">
        <v>99</v>
      </c>
      <c r="D183" s="446">
        <v>9958</v>
      </c>
      <c r="E183" s="446">
        <v>0</v>
      </c>
      <c r="F183" s="446">
        <v>0</v>
      </c>
      <c r="G183" s="446">
        <v>0</v>
      </c>
      <c r="H183" s="446">
        <v>30</v>
      </c>
      <c r="I183" s="446">
        <v>4</v>
      </c>
      <c r="J183" s="446">
        <v>2</v>
      </c>
      <c r="K183" s="446">
        <v>4</v>
      </c>
      <c r="L183" s="446">
        <v>2</v>
      </c>
      <c r="M183" s="446">
        <v>1</v>
      </c>
      <c r="N183" s="446">
        <v>3</v>
      </c>
      <c r="O183" s="446">
        <v>2</v>
      </c>
      <c r="P183" s="446">
        <v>1</v>
      </c>
      <c r="Q183" s="446">
        <v>2</v>
      </c>
      <c r="R183" s="446">
        <v>0</v>
      </c>
      <c r="S183" s="446">
        <v>0</v>
      </c>
      <c r="T183" s="447">
        <v>0</v>
      </c>
      <c r="U183" s="446">
        <v>1042</v>
      </c>
      <c r="V183" s="446"/>
    </row>
    <row r="184" spans="1:22" ht="25.5" customHeight="1">
      <c r="A184" s="445">
        <v>46273</v>
      </c>
      <c r="B184" s="446" t="s">
        <v>19</v>
      </c>
      <c r="C184" s="446" t="s">
        <v>88</v>
      </c>
      <c r="D184" s="446">
        <v>13827</v>
      </c>
      <c r="E184" s="446">
        <v>4.5</v>
      </c>
      <c r="F184" s="446">
        <v>0</v>
      </c>
      <c r="G184" s="446">
        <v>4.5</v>
      </c>
      <c r="H184" s="446">
        <v>22.75</v>
      </c>
      <c r="I184" s="446">
        <v>3</v>
      </c>
      <c r="J184" s="446">
        <v>1</v>
      </c>
      <c r="K184" s="446">
        <v>1</v>
      </c>
      <c r="L184" s="446">
        <v>2</v>
      </c>
      <c r="M184" s="446">
        <v>1</v>
      </c>
      <c r="N184" s="446">
        <v>1</v>
      </c>
      <c r="O184" s="446">
        <v>4</v>
      </c>
      <c r="P184" s="446">
        <v>1</v>
      </c>
      <c r="Q184" s="446">
        <v>0</v>
      </c>
      <c r="R184" s="446">
        <v>0</v>
      </c>
      <c r="S184" s="446">
        <v>0</v>
      </c>
      <c r="T184" s="447">
        <v>0</v>
      </c>
      <c r="U184" s="446">
        <v>1245</v>
      </c>
      <c r="V184" s="446"/>
    </row>
    <row r="185" spans="1:22" ht="25.5" customHeight="1">
      <c r="A185" s="445">
        <v>46273</v>
      </c>
      <c r="B185" s="446" t="s">
        <v>19</v>
      </c>
      <c r="C185" s="446" t="s">
        <v>107</v>
      </c>
      <c r="D185" s="446">
        <v>0</v>
      </c>
      <c r="E185" s="446">
        <v>0</v>
      </c>
      <c r="F185" s="446">
        <v>0</v>
      </c>
      <c r="G185" s="446">
        <v>0</v>
      </c>
      <c r="H185" s="446">
        <v>0</v>
      </c>
      <c r="I185" s="446">
        <v>0</v>
      </c>
      <c r="J185" s="446">
        <v>0</v>
      </c>
      <c r="K185" s="446">
        <v>0</v>
      </c>
      <c r="L185" s="446">
        <v>0</v>
      </c>
      <c r="M185" s="446">
        <v>0</v>
      </c>
      <c r="N185" s="446">
        <v>0</v>
      </c>
      <c r="O185" s="446">
        <v>0</v>
      </c>
      <c r="P185" s="446">
        <v>0</v>
      </c>
      <c r="Q185" s="446">
        <v>0</v>
      </c>
      <c r="R185" s="446">
        <v>0</v>
      </c>
      <c r="S185" s="446">
        <v>0</v>
      </c>
      <c r="T185" s="447">
        <v>0</v>
      </c>
      <c r="U185" s="446">
        <v>0</v>
      </c>
      <c r="V185" s="446"/>
    </row>
    <row r="186" spans="1:22" ht="25.5" customHeight="1">
      <c r="A186" s="445">
        <v>46273</v>
      </c>
      <c r="B186" s="446" t="s">
        <v>20</v>
      </c>
      <c r="C186" s="446" t="s">
        <v>93</v>
      </c>
      <c r="D186" s="446">
        <v>3100</v>
      </c>
      <c r="E186" s="446">
        <v>0</v>
      </c>
      <c r="F186" s="446">
        <v>0</v>
      </c>
      <c r="G186" s="446">
        <v>0</v>
      </c>
      <c r="H186" s="446">
        <v>15.5</v>
      </c>
      <c r="I186" s="446">
        <v>1</v>
      </c>
      <c r="J186" s="446">
        <v>1</v>
      </c>
      <c r="K186" s="446">
        <v>0</v>
      </c>
      <c r="L186" s="446">
        <v>1</v>
      </c>
      <c r="M186" s="446">
        <v>1</v>
      </c>
      <c r="N186" s="446">
        <v>0</v>
      </c>
      <c r="O186" s="446">
        <v>1</v>
      </c>
      <c r="P186" s="446">
        <v>0</v>
      </c>
      <c r="Q186" s="446">
        <v>0</v>
      </c>
      <c r="R186" s="446">
        <v>0</v>
      </c>
      <c r="S186" s="446">
        <v>0</v>
      </c>
      <c r="T186" s="447">
        <v>0</v>
      </c>
      <c r="U186" s="446">
        <v>150</v>
      </c>
      <c r="V186" s="446"/>
    </row>
    <row r="187" spans="1:22" ht="25.5" customHeight="1">
      <c r="A187" s="445">
        <v>46273</v>
      </c>
      <c r="B187" s="446" t="s">
        <v>20</v>
      </c>
      <c r="C187" s="446" t="s">
        <v>105</v>
      </c>
      <c r="D187" s="446">
        <v>2674.24</v>
      </c>
      <c r="E187" s="446">
        <v>0</v>
      </c>
      <c r="F187" s="446">
        <v>0</v>
      </c>
      <c r="G187" s="446">
        <v>0</v>
      </c>
      <c r="H187" s="446">
        <v>19.5</v>
      </c>
      <c r="I187" s="446">
        <v>2</v>
      </c>
      <c r="J187" s="446">
        <v>1</v>
      </c>
      <c r="K187" s="446">
        <v>1</v>
      </c>
      <c r="L187" s="446">
        <v>2</v>
      </c>
      <c r="M187" s="446">
        <v>2</v>
      </c>
      <c r="N187" s="446">
        <v>1</v>
      </c>
      <c r="O187" s="446">
        <v>1</v>
      </c>
      <c r="P187" s="446">
        <v>2</v>
      </c>
      <c r="Q187" s="446">
        <v>0</v>
      </c>
      <c r="R187" s="446">
        <v>0</v>
      </c>
      <c r="S187" s="446">
        <v>0</v>
      </c>
      <c r="T187" s="447">
        <v>0</v>
      </c>
      <c r="U187" s="446">
        <v>0</v>
      </c>
      <c r="V187" s="446"/>
    </row>
    <row r="188" spans="1:22" ht="25.5" customHeight="1">
      <c r="A188" s="445">
        <v>46273</v>
      </c>
      <c r="B188" s="446" t="s">
        <v>20</v>
      </c>
      <c r="C188" s="446" t="s">
        <v>102</v>
      </c>
      <c r="D188" s="446">
        <v>10969.68</v>
      </c>
      <c r="E188" s="446">
        <v>1.5</v>
      </c>
      <c r="F188" s="446">
        <v>0</v>
      </c>
      <c r="G188" s="446">
        <v>0</v>
      </c>
      <c r="H188" s="446">
        <v>15.5</v>
      </c>
      <c r="I188" s="446">
        <v>2</v>
      </c>
      <c r="J188" s="446">
        <v>1</v>
      </c>
      <c r="K188" s="446">
        <v>0</v>
      </c>
      <c r="L188" s="446">
        <v>2</v>
      </c>
      <c r="M188" s="446">
        <v>1</v>
      </c>
      <c r="N188" s="446">
        <v>0</v>
      </c>
      <c r="O188" s="446">
        <v>1</v>
      </c>
      <c r="P188" s="446">
        <v>1</v>
      </c>
      <c r="Q188" s="446">
        <v>0</v>
      </c>
      <c r="R188" s="446">
        <v>0</v>
      </c>
      <c r="S188" s="446">
        <v>0</v>
      </c>
      <c r="T188" s="447">
        <v>0</v>
      </c>
      <c r="U188" s="446">
        <v>861</v>
      </c>
      <c r="V188" s="446"/>
    </row>
    <row r="189" spans="1:22" ht="25.5" customHeight="1">
      <c r="A189" s="445">
        <v>46273</v>
      </c>
      <c r="B189" s="446" t="s">
        <v>20</v>
      </c>
      <c r="C189" s="446" t="s">
        <v>111</v>
      </c>
      <c r="D189" s="446">
        <v>0</v>
      </c>
      <c r="E189" s="446">
        <v>0</v>
      </c>
      <c r="F189" s="446">
        <v>0</v>
      </c>
      <c r="G189" s="446">
        <v>0</v>
      </c>
      <c r="H189" s="446">
        <v>0</v>
      </c>
      <c r="I189" s="446">
        <v>0</v>
      </c>
      <c r="J189" s="446">
        <v>0</v>
      </c>
      <c r="K189" s="446">
        <v>0</v>
      </c>
      <c r="L189" s="446">
        <v>0</v>
      </c>
      <c r="M189" s="446">
        <v>0</v>
      </c>
      <c r="N189" s="446">
        <v>0</v>
      </c>
      <c r="O189" s="446">
        <v>0</v>
      </c>
      <c r="P189" s="446">
        <v>0</v>
      </c>
      <c r="Q189" s="446">
        <v>0</v>
      </c>
      <c r="R189" s="446">
        <v>0</v>
      </c>
      <c r="S189" s="446">
        <v>0</v>
      </c>
      <c r="T189" s="447">
        <v>0</v>
      </c>
      <c r="U189" s="446">
        <v>0</v>
      </c>
      <c r="V189" s="446"/>
    </row>
    <row r="190" spans="1:22" ht="25.5" customHeight="1">
      <c r="A190" s="445">
        <v>46273</v>
      </c>
      <c r="B190" s="446" t="s">
        <v>21</v>
      </c>
      <c r="C190" s="446" t="s">
        <v>90</v>
      </c>
      <c r="D190" s="446">
        <v>5979</v>
      </c>
      <c r="E190" s="446">
        <v>6.5</v>
      </c>
      <c r="F190" s="446">
        <v>1</v>
      </c>
      <c r="G190" s="446">
        <v>6.5</v>
      </c>
      <c r="H190" s="446">
        <v>16</v>
      </c>
      <c r="I190" s="446">
        <v>3</v>
      </c>
      <c r="J190" s="446">
        <v>2</v>
      </c>
      <c r="K190" s="446">
        <v>1</v>
      </c>
      <c r="L190" s="446">
        <v>1</v>
      </c>
      <c r="M190" s="446">
        <v>1</v>
      </c>
      <c r="N190" s="446">
        <v>1</v>
      </c>
      <c r="O190" s="446">
        <v>2</v>
      </c>
      <c r="P190" s="446">
        <v>1</v>
      </c>
      <c r="Q190" s="446">
        <v>0</v>
      </c>
      <c r="R190" s="446">
        <v>0</v>
      </c>
      <c r="S190" s="446">
        <v>0</v>
      </c>
      <c r="T190" s="447">
        <v>0</v>
      </c>
      <c r="U190" s="446">
        <v>490</v>
      </c>
      <c r="V190" s="446"/>
    </row>
    <row r="191" spans="1:22" ht="25.5" customHeight="1">
      <c r="A191" s="445">
        <v>46273</v>
      </c>
      <c r="B191" s="446" t="s">
        <v>21</v>
      </c>
      <c r="C191" s="446" t="s">
        <v>109</v>
      </c>
      <c r="D191" s="446">
        <v>174</v>
      </c>
      <c r="E191" s="446">
        <v>0</v>
      </c>
      <c r="F191" s="446">
        <v>0</v>
      </c>
      <c r="G191" s="446">
        <v>0</v>
      </c>
      <c r="H191" s="446">
        <v>0</v>
      </c>
      <c r="I191" s="446">
        <v>0</v>
      </c>
      <c r="J191" s="446">
        <v>0</v>
      </c>
      <c r="K191" s="446">
        <v>0</v>
      </c>
      <c r="L191" s="446">
        <v>0</v>
      </c>
      <c r="M191" s="446">
        <v>0</v>
      </c>
      <c r="N191" s="446">
        <v>0</v>
      </c>
      <c r="O191" s="446">
        <v>0</v>
      </c>
      <c r="P191" s="446">
        <v>0</v>
      </c>
      <c r="Q191" s="446">
        <v>0</v>
      </c>
      <c r="R191" s="446">
        <v>0</v>
      </c>
      <c r="S191" s="446">
        <v>0</v>
      </c>
      <c r="T191" s="447">
        <v>0</v>
      </c>
      <c r="U191" s="446">
        <v>325</v>
      </c>
      <c r="V191" s="446"/>
    </row>
    <row r="192" spans="1:22" ht="25.5" customHeight="1">
      <c r="A192" s="445">
        <v>46273</v>
      </c>
      <c r="B192" s="446" t="s">
        <v>21</v>
      </c>
      <c r="C192" s="446" t="s">
        <v>103</v>
      </c>
      <c r="D192" s="446">
        <v>1470</v>
      </c>
      <c r="E192" s="446">
        <v>0</v>
      </c>
      <c r="F192" s="446">
        <v>0</v>
      </c>
      <c r="G192" s="446">
        <v>0</v>
      </c>
      <c r="H192" s="446">
        <v>5.5</v>
      </c>
      <c r="I192" s="446">
        <v>1</v>
      </c>
      <c r="J192" s="446">
        <v>1</v>
      </c>
      <c r="K192" s="446">
        <v>0</v>
      </c>
      <c r="L192" s="446">
        <v>0</v>
      </c>
      <c r="M192" s="446">
        <v>0</v>
      </c>
      <c r="N192" s="446">
        <v>0</v>
      </c>
      <c r="O192" s="446">
        <v>1</v>
      </c>
      <c r="P192" s="446">
        <v>0</v>
      </c>
      <c r="Q192" s="446">
        <v>0</v>
      </c>
      <c r="R192" s="446">
        <v>0</v>
      </c>
      <c r="S192" s="446">
        <v>0</v>
      </c>
      <c r="T192" s="447">
        <v>0</v>
      </c>
      <c r="U192" s="446">
        <v>500</v>
      </c>
      <c r="V192" s="446"/>
    </row>
    <row r="193" spans="1:22" ht="25.5" customHeight="1">
      <c r="A193" s="445">
        <v>46273</v>
      </c>
      <c r="B193" s="446" t="s">
        <v>21</v>
      </c>
      <c r="C193" s="446" t="s">
        <v>112</v>
      </c>
      <c r="D193" s="446">
        <v>450</v>
      </c>
      <c r="E193" s="446">
        <v>2</v>
      </c>
      <c r="F193" s="446">
        <v>0</v>
      </c>
      <c r="G193" s="446">
        <v>2</v>
      </c>
      <c r="H193" s="446">
        <v>10.5</v>
      </c>
      <c r="I193" s="446">
        <v>1</v>
      </c>
      <c r="J193" s="446">
        <v>1</v>
      </c>
      <c r="K193" s="446">
        <v>0</v>
      </c>
      <c r="L193" s="446">
        <v>1</v>
      </c>
      <c r="M193" s="446">
        <v>1</v>
      </c>
      <c r="N193" s="446">
        <v>0</v>
      </c>
      <c r="O193" s="446">
        <v>1</v>
      </c>
      <c r="P193" s="446">
        <v>0</v>
      </c>
      <c r="Q193" s="446">
        <v>0</v>
      </c>
      <c r="R193" s="446">
        <v>0</v>
      </c>
      <c r="S193" s="446">
        <v>0</v>
      </c>
      <c r="T193" s="447">
        <v>0</v>
      </c>
      <c r="U193" s="446">
        <v>0</v>
      </c>
      <c r="V193" s="446"/>
    </row>
    <row r="194" spans="1:22" ht="25.5" customHeight="1">
      <c r="A194" s="445">
        <v>46274</v>
      </c>
      <c r="B194" s="446" t="s">
        <v>17</v>
      </c>
      <c r="C194" s="446" t="s">
        <v>96</v>
      </c>
      <c r="D194" s="446">
        <v>6981.71</v>
      </c>
      <c r="E194" s="446">
        <v>8.5</v>
      </c>
      <c r="F194" s="446">
        <v>1</v>
      </c>
      <c r="G194" s="446">
        <v>8.5</v>
      </c>
      <c r="H194" s="446">
        <v>21</v>
      </c>
      <c r="I194" s="446">
        <v>4</v>
      </c>
      <c r="J194" s="446">
        <v>1</v>
      </c>
      <c r="K194" s="446">
        <v>2</v>
      </c>
      <c r="L194" s="446">
        <v>2</v>
      </c>
      <c r="M194" s="446">
        <v>1</v>
      </c>
      <c r="N194" s="446">
        <v>3</v>
      </c>
      <c r="O194" s="446">
        <v>2</v>
      </c>
      <c r="P194" s="446">
        <v>1.5</v>
      </c>
      <c r="Q194" s="446">
        <v>0</v>
      </c>
      <c r="R194" s="446">
        <v>0</v>
      </c>
      <c r="S194" s="446">
        <v>0</v>
      </c>
      <c r="T194" s="447">
        <v>0</v>
      </c>
      <c r="U194" s="446">
        <v>4568</v>
      </c>
      <c r="V194" s="446"/>
    </row>
    <row r="195" spans="1:22" ht="25.5" customHeight="1">
      <c r="A195" s="445">
        <v>46274</v>
      </c>
      <c r="B195" s="446" t="s">
        <v>17</v>
      </c>
      <c r="C195" s="446" t="s">
        <v>108</v>
      </c>
      <c r="D195" s="446">
        <v>3265</v>
      </c>
      <c r="E195" s="446">
        <v>0</v>
      </c>
      <c r="F195" s="446">
        <v>0</v>
      </c>
      <c r="G195" s="446">
        <v>0</v>
      </c>
      <c r="H195" s="446">
        <v>14</v>
      </c>
      <c r="I195" s="446">
        <v>2</v>
      </c>
      <c r="J195" s="446">
        <v>1</v>
      </c>
      <c r="K195" s="446">
        <v>0</v>
      </c>
      <c r="L195" s="446">
        <v>1</v>
      </c>
      <c r="M195" s="446">
        <v>1</v>
      </c>
      <c r="N195" s="446">
        <v>1</v>
      </c>
      <c r="O195" s="446">
        <v>1</v>
      </c>
      <c r="P195" s="446">
        <v>1</v>
      </c>
      <c r="Q195" s="446">
        <v>0</v>
      </c>
      <c r="R195" s="446">
        <v>0</v>
      </c>
      <c r="S195" s="446">
        <v>0</v>
      </c>
      <c r="T195" s="447">
        <v>0</v>
      </c>
      <c r="U195" s="446">
        <v>1273</v>
      </c>
      <c r="V195" s="446"/>
    </row>
    <row r="196" spans="1:22" ht="25.5" customHeight="1">
      <c r="A196" s="445">
        <v>46274</v>
      </c>
      <c r="B196" s="446" t="s">
        <v>17</v>
      </c>
      <c r="C196" s="446" t="s">
        <v>101</v>
      </c>
      <c r="D196" s="446">
        <v>0</v>
      </c>
      <c r="E196" s="446">
        <v>0</v>
      </c>
      <c r="F196" s="446">
        <v>0</v>
      </c>
      <c r="G196" s="446">
        <v>0</v>
      </c>
      <c r="H196" s="446">
        <v>0</v>
      </c>
      <c r="I196" s="446">
        <v>0</v>
      </c>
      <c r="J196" s="446">
        <v>0</v>
      </c>
      <c r="K196" s="446">
        <v>0</v>
      </c>
      <c r="L196" s="446">
        <v>0</v>
      </c>
      <c r="M196" s="446">
        <v>0</v>
      </c>
      <c r="N196" s="446">
        <v>0</v>
      </c>
      <c r="O196" s="446">
        <v>0</v>
      </c>
      <c r="P196" s="446">
        <v>0</v>
      </c>
      <c r="Q196" s="446">
        <v>0</v>
      </c>
      <c r="R196" s="446">
        <v>0</v>
      </c>
      <c r="S196" s="446">
        <v>0</v>
      </c>
      <c r="T196" s="447">
        <v>0</v>
      </c>
      <c r="U196" s="446">
        <v>0</v>
      </c>
      <c r="V196" s="446"/>
    </row>
    <row r="197" spans="1:22" ht="25.5" customHeight="1">
      <c r="A197" s="445">
        <v>46274</v>
      </c>
      <c r="B197" s="446" t="s">
        <v>17</v>
      </c>
      <c r="C197" s="446" t="s">
        <v>106</v>
      </c>
      <c r="D197" s="446">
        <v>4338</v>
      </c>
      <c r="E197" s="446">
        <v>0</v>
      </c>
      <c r="F197" s="446">
        <v>0</v>
      </c>
      <c r="G197" s="446">
        <v>0</v>
      </c>
      <c r="H197" s="446">
        <v>12</v>
      </c>
      <c r="I197" s="446">
        <v>2</v>
      </c>
      <c r="J197" s="446">
        <v>0</v>
      </c>
      <c r="K197" s="446">
        <v>0</v>
      </c>
      <c r="L197" s="446">
        <v>1</v>
      </c>
      <c r="M197" s="446">
        <v>1</v>
      </c>
      <c r="N197" s="446">
        <v>0</v>
      </c>
      <c r="O197" s="446">
        <v>1</v>
      </c>
      <c r="P197" s="446">
        <v>1</v>
      </c>
      <c r="Q197" s="446">
        <v>0</v>
      </c>
      <c r="R197" s="446">
        <v>0</v>
      </c>
      <c r="S197" s="446">
        <v>0</v>
      </c>
      <c r="T197" s="447">
        <v>0</v>
      </c>
      <c r="U197" s="446">
        <v>50</v>
      </c>
      <c r="V197" s="446">
        <v>1</v>
      </c>
    </row>
    <row r="198" spans="1:22" ht="25.5" customHeight="1">
      <c r="A198" s="445">
        <v>46274</v>
      </c>
      <c r="B198" s="446" t="s">
        <v>22</v>
      </c>
      <c r="C198" s="446" t="s">
        <v>23</v>
      </c>
      <c r="D198" s="446">
        <v>6035</v>
      </c>
      <c r="E198" s="446">
        <v>0</v>
      </c>
      <c r="F198" s="446">
        <v>0</v>
      </c>
      <c r="G198" s="446">
        <v>0</v>
      </c>
      <c r="H198" s="446">
        <v>12</v>
      </c>
      <c r="I198" s="446">
        <v>3</v>
      </c>
      <c r="J198" s="446">
        <v>1</v>
      </c>
      <c r="K198" s="446">
        <v>3</v>
      </c>
      <c r="L198" s="446">
        <v>1</v>
      </c>
      <c r="M198" s="446">
        <v>0</v>
      </c>
      <c r="N198" s="446">
        <v>0</v>
      </c>
      <c r="O198" s="446">
        <v>1</v>
      </c>
      <c r="P198" s="446">
        <v>0</v>
      </c>
      <c r="Q198" s="446">
        <v>1.5</v>
      </c>
      <c r="R198" s="446">
        <v>0</v>
      </c>
      <c r="S198" s="446">
        <v>0</v>
      </c>
      <c r="T198" s="447">
        <v>749</v>
      </c>
      <c r="U198" s="446">
        <v>245</v>
      </c>
      <c r="V198" s="446"/>
    </row>
    <row r="199" spans="1:22" ht="25.5" customHeight="1">
      <c r="A199" s="445">
        <v>46274</v>
      </c>
      <c r="B199" s="446" t="s">
        <v>18</v>
      </c>
      <c r="C199" s="446" t="s">
        <v>97</v>
      </c>
      <c r="D199" s="446">
        <v>0</v>
      </c>
      <c r="E199" s="446">
        <v>0</v>
      </c>
      <c r="F199" s="446">
        <v>0</v>
      </c>
      <c r="G199" s="446">
        <v>0</v>
      </c>
      <c r="H199" s="446">
        <v>0</v>
      </c>
      <c r="I199" s="446">
        <v>0</v>
      </c>
      <c r="J199" s="446">
        <v>0</v>
      </c>
      <c r="K199" s="446">
        <v>0</v>
      </c>
      <c r="L199" s="446">
        <v>0</v>
      </c>
      <c r="M199" s="446">
        <v>0</v>
      </c>
      <c r="N199" s="446">
        <v>0</v>
      </c>
      <c r="O199" s="446">
        <v>0</v>
      </c>
      <c r="P199" s="446">
        <v>0</v>
      </c>
      <c r="Q199" s="446">
        <v>0</v>
      </c>
      <c r="R199" s="446">
        <v>0</v>
      </c>
      <c r="S199" s="446">
        <v>0</v>
      </c>
      <c r="T199" s="447">
        <v>0</v>
      </c>
      <c r="U199" s="446">
        <v>0</v>
      </c>
      <c r="V199" s="446"/>
    </row>
    <row r="200" spans="1:22" ht="25.5" customHeight="1">
      <c r="A200" s="445">
        <v>46274</v>
      </c>
      <c r="B200" s="446" t="s">
        <v>18</v>
      </c>
      <c r="C200" s="446" t="s">
        <v>98</v>
      </c>
      <c r="D200" s="446">
        <v>17245</v>
      </c>
      <c r="E200" s="446">
        <v>0</v>
      </c>
      <c r="F200" s="446">
        <v>0</v>
      </c>
      <c r="G200" s="446">
        <v>0</v>
      </c>
      <c r="H200" s="446">
        <v>18</v>
      </c>
      <c r="I200" s="446">
        <v>2</v>
      </c>
      <c r="J200" s="446">
        <v>1</v>
      </c>
      <c r="K200" s="446">
        <v>0</v>
      </c>
      <c r="L200" s="446">
        <v>1</v>
      </c>
      <c r="M200" s="446">
        <v>1</v>
      </c>
      <c r="N200" s="446">
        <v>0</v>
      </c>
      <c r="O200" s="446">
        <v>1</v>
      </c>
      <c r="P200" s="446">
        <v>1</v>
      </c>
      <c r="Q200" s="446">
        <v>0</v>
      </c>
      <c r="R200" s="446">
        <v>0</v>
      </c>
      <c r="S200" s="446">
        <v>0</v>
      </c>
      <c r="T200" s="447">
        <v>0</v>
      </c>
      <c r="U200" s="446">
        <v>675</v>
      </c>
      <c r="V200" s="446"/>
    </row>
    <row r="201" spans="1:22" ht="25.5" customHeight="1">
      <c r="A201" s="445">
        <v>46274</v>
      </c>
      <c r="B201" s="446" t="s">
        <v>18</v>
      </c>
      <c r="C201" s="446" t="s">
        <v>110</v>
      </c>
      <c r="D201" s="446">
        <v>0</v>
      </c>
      <c r="E201" s="446">
        <v>0</v>
      </c>
      <c r="F201" s="446">
        <v>0</v>
      </c>
      <c r="G201" s="446">
        <v>0</v>
      </c>
      <c r="H201" s="446">
        <v>0</v>
      </c>
      <c r="I201" s="446">
        <v>0</v>
      </c>
      <c r="J201" s="446">
        <v>0</v>
      </c>
      <c r="K201" s="446">
        <v>0</v>
      </c>
      <c r="L201" s="446">
        <v>0</v>
      </c>
      <c r="M201" s="446">
        <v>0</v>
      </c>
      <c r="N201" s="446">
        <v>0</v>
      </c>
      <c r="O201" s="446">
        <v>0</v>
      </c>
      <c r="P201" s="446">
        <v>0</v>
      </c>
      <c r="Q201" s="446">
        <v>0</v>
      </c>
      <c r="R201" s="446">
        <v>0</v>
      </c>
      <c r="S201" s="446">
        <v>0</v>
      </c>
      <c r="T201" s="447">
        <v>0</v>
      </c>
      <c r="U201" s="446">
        <v>0</v>
      </c>
      <c r="V201" s="446"/>
    </row>
    <row r="202" spans="1:22" ht="25.5" customHeight="1">
      <c r="A202" s="445">
        <v>46274</v>
      </c>
      <c r="B202" s="446" t="s">
        <v>19</v>
      </c>
      <c r="C202" s="446" t="s">
        <v>99</v>
      </c>
      <c r="D202" s="446">
        <v>900</v>
      </c>
      <c r="E202" s="446">
        <v>0</v>
      </c>
      <c r="F202" s="446">
        <v>0</v>
      </c>
      <c r="G202" s="446">
        <v>0</v>
      </c>
      <c r="H202" s="446">
        <v>5</v>
      </c>
      <c r="I202" s="446">
        <v>1</v>
      </c>
      <c r="J202" s="446">
        <v>0</v>
      </c>
      <c r="K202" s="446">
        <v>1</v>
      </c>
      <c r="L202" s="446">
        <v>1</v>
      </c>
      <c r="M202" s="446">
        <v>0</v>
      </c>
      <c r="N202" s="446">
        <v>0</v>
      </c>
      <c r="O202" s="446">
        <v>0</v>
      </c>
      <c r="P202" s="446">
        <v>0</v>
      </c>
      <c r="Q202" s="446">
        <v>0</v>
      </c>
      <c r="R202" s="446">
        <v>0</v>
      </c>
      <c r="S202" s="446">
        <v>0</v>
      </c>
      <c r="T202" s="447">
        <v>0</v>
      </c>
      <c r="U202" s="446">
        <v>0</v>
      </c>
      <c r="V202" s="446"/>
    </row>
    <row r="203" spans="1:22" ht="25.5" customHeight="1">
      <c r="A203" s="445">
        <v>46274</v>
      </c>
      <c r="B203" s="446" t="s">
        <v>19</v>
      </c>
      <c r="C203" s="446" t="s">
        <v>88</v>
      </c>
      <c r="D203" s="446">
        <v>0</v>
      </c>
      <c r="E203" s="446">
        <v>0</v>
      </c>
      <c r="F203" s="446">
        <v>0</v>
      </c>
      <c r="G203" s="446">
        <v>0</v>
      </c>
      <c r="H203" s="446">
        <v>0</v>
      </c>
      <c r="I203" s="446">
        <v>0</v>
      </c>
      <c r="J203" s="446">
        <v>0</v>
      </c>
      <c r="K203" s="446">
        <v>0</v>
      </c>
      <c r="L203" s="446">
        <v>0</v>
      </c>
      <c r="M203" s="446">
        <v>0</v>
      </c>
      <c r="N203" s="446">
        <v>0</v>
      </c>
      <c r="O203" s="446">
        <v>0</v>
      </c>
      <c r="P203" s="446">
        <v>0</v>
      </c>
      <c r="Q203" s="446">
        <v>0</v>
      </c>
      <c r="R203" s="446">
        <v>0</v>
      </c>
      <c r="S203" s="446">
        <v>0</v>
      </c>
      <c r="T203" s="447">
        <v>0</v>
      </c>
      <c r="U203" s="446">
        <v>0</v>
      </c>
      <c r="V203" s="446"/>
    </row>
    <row r="204" spans="1:22" ht="25.5" customHeight="1">
      <c r="A204" s="445">
        <v>46274</v>
      </c>
      <c r="B204" s="446" t="s">
        <v>19</v>
      </c>
      <c r="C204" s="446" t="s">
        <v>107</v>
      </c>
      <c r="D204" s="446">
        <v>4960</v>
      </c>
      <c r="E204" s="446">
        <v>0</v>
      </c>
      <c r="F204" s="446">
        <v>0</v>
      </c>
      <c r="G204" s="446">
        <v>0</v>
      </c>
      <c r="H204" s="446">
        <v>22</v>
      </c>
      <c r="I204" s="446">
        <v>4</v>
      </c>
      <c r="J204" s="446">
        <v>1</v>
      </c>
      <c r="K204" s="446">
        <v>1</v>
      </c>
      <c r="L204" s="446">
        <v>2</v>
      </c>
      <c r="M204" s="446">
        <v>1</v>
      </c>
      <c r="N204" s="446">
        <v>0</v>
      </c>
      <c r="O204" s="446">
        <v>2</v>
      </c>
      <c r="P204" s="446">
        <v>1</v>
      </c>
      <c r="Q204" s="446">
        <v>0</v>
      </c>
      <c r="R204" s="446">
        <v>0</v>
      </c>
      <c r="S204" s="446">
        <v>0</v>
      </c>
      <c r="T204" s="447">
        <v>0</v>
      </c>
      <c r="U204" s="446">
        <v>400</v>
      </c>
      <c r="V204" s="446"/>
    </row>
    <row r="205" spans="1:22" ht="25.5" customHeight="1">
      <c r="A205" s="445">
        <v>46274</v>
      </c>
      <c r="B205" s="446" t="s">
        <v>20</v>
      </c>
      <c r="C205" s="446" t="s">
        <v>93</v>
      </c>
      <c r="D205" s="446">
        <v>0</v>
      </c>
      <c r="E205" s="446">
        <v>0</v>
      </c>
      <c r="F205" s="446">
        <v>0</v>
      </c>
      <c r="G205" s="446">
        <v>0</v>
      </c>
      <c r="H205" s="446">
        <v>0</v>
      </c>
      <c r="I205" s="446">
        <v>0</v>
      </c>
      <c r="J205" s="446">
        <v>0</v>
      </c>
      <c r="K205" s="446">
        <v>0</v>
      </c>
      <c r="L205" s="446">
        <v>0</v>
      </c>
      <c r="M205" s="446">
        <v>0</v>
      </c>
      <c r="N205" s="446">
        <v>0</v>
      </c>
      <c r="O205" s="446">
        <v>0</v>
      </c>
      <c r="P205" s="446">
        <v>0</v>
      </c>
      <c r="Q205" s="446">
        <v>0</v>
      </c>
      <c r="R205" s="446">
        <v>0</v>
      </c>
      <c r="S205" s="446">
        <v>0</v>
      </c>
      <c r="T205" s="447">
        <v>0</v>
      </c>
      <c r="U205" s="446">
        <v>0</v>
      </c>
      <c r="V205" s="446"/>
    </row>
    <row r="206" spans="1:22" ht="25.5" customHeight="1">
      <c r="A206" s="445">
        <v>46274</v>
      </c>
      <c r="B206" s="446" t="s">
        <v>20</v>
      </c>
      <c r="C206" s="446" t="s">
        <v>105</v>
      </c>
      <c r="D206" s="446">
        <v>12398</v>
      </c>
      <c r="E206" s="446">
        <v>0</v>
      </c>
      <c r="F206" s="446">
        <v>0</v>
      </c>
      <c r="G206" s="446">
        <v>0</v>
      </c>
      <c r="H206" s="446">
        <v>55</v>
      </c>
      <c r="I206" s="446">
        <v>6</v>
      </c>
      <c r="J206" s="446">
        <v>3</v>
      </c>
      <c r="K206" s="446">
        <v>1</v>
      </c>
      <c r="L206" s="446">
        <v>2</v>
      </c>
      <c r="M206" s="446">
        <v>2</v>
      </c>
      <c r="N206" s="446">
        <v>0</v>
      </c>
      <c r="O206" s="446">
        <v>3</v>
      </c>
      <c r="P206" s="446">
        <v>2</v>
      </c>
      <c r="Q206" s="446">
        <v>0</v>
      </c>
      <c r="R206" s="446">
        <v>0</v>
      </c>
      <c r="S206" s="446">
        <v>0</v>
      </c>
      <c r="T206" s="447">
        <v>0</v>
      </c>
      <c r="U206" s="446">
        <v>1512</v>
      </c>
      <c r="V206" s="446"/>
    </row>
    <row r="207" spans="1:22" ht="25.5" customHeight="1">
      <c r="A207" s="445">
        <v>46274</v>
      </c>
      <c r="B207" s="446" t="s">
        <v>20</v>
      </c>
      <c r="C207" s="446" t="s">
        <v>102</v>
      </c>
      <c r="D207" s="446">
        <v>13802</v>
      </c>
      <c r="E207" s="446">
        <v>0</v>
      </c>
      <c r="F207" s="446">
        <v>0</v>
      </c>
      <c r="G207" s="446">
        <v>0</v>
      </c>
      <c r="H207" s="446">
        <v>25.75</v>
      </c>
      <c r="I207" s="446">
        <v>4</v>
      </c>
      <c r="J207" s="446">
        <v>1</v>
      </c>
      <c r="K207" s="446">
        <v>2</v>
      </c>
      <c r="L207" s="446">
        <v>1</v>
      </c>
      <c r="M207" s="446">
        <v>1</v>
      </c>
      <c r="N207" s="446">
        <v>1</v>
      </c>
      <c r="O207" s="446">
        <v>3</v>
      </c>
      <c r="P207" s="446">
        <v>1</v>
      </c>
      <c r="Q207" s="446">
        <v>0</v>
      </c>
      <c r="R207" s="446">
        <v>0</v>
      </c>
      <c r="S207" s="446">
        <v>0</v>
      </c>
      <c r="T207" s="447">
        <v>0</v>
      </c>
      <c r="U207" s="446">
        <v>257</v>
      </c>
      <c r="V207" s="446"/>
    </row>
    <row r="208" spans="1:22" ht="25.5" customHeight="1">
      <c r="A208" s="445">
        <v>46274</v>
      </c>
      <c r="B208" s="446" t="s">
        <v>20</v>
      </c>
      <c r="C208" s="446" t="s">
        <v>111</v>
      </c>
      <c r="D208" s="446">
        <v>200</v>
      </c>
      <c r="E208" s="446">
        <v>0</v>
      </c>
      <c r="F208" s="446">
        <v>0</v>
      </c>
      <c r="G208" s="446">
        <v>0</v>
      </c>
      <c r="H208" s="446">
        <v>0</v>
      </c>
      <c r="I208" s="446">
        <v>0</v>
      </c>
      <c r="J208" s="446">
        <v>0</v>
      </c>
      <c r="K208" s="446">
        <v>0</v>
      </c>
      <c r="L208" s="446">
        <v>0</v>
      </c>
      <c r="M208" s="446">
        <v>0</v>
      </c>
      <c r="N208" s="446">
        <v>0</v>
      </c>
      <c r="O208" s="446">
        <v>0</v>
      </c>
      <c r="P208" s="446">
        <v>0</v>
      </c>
      <c r="Q208" s="446">
        <v>0</v>
      </c>
      <c r="R208" s="446">
        <v>0</v>
      </c>
      <c r="S208" s="446">
        <v>0</v>
      </c>
      <c r="T208" s="447">
        <v>0</v>
      </c>
      <c r="U208" s="446">
        <v>0</v>
      </c>
      <c r="V208" s="446"/>
    </row>
    <row r="209" spans="1:22" ht="25.5" customHeight="1">
      <c r="A209" s="445">
        <v>46274</v>
      </c>
      <c r="B209" s="446" t="s">
        <v>21</v>
      </c>
      <c r="C209" s="446" t="s">
        <v>90</v>
      </c>
      <c r="D209" s="446">
        <v>0</v>
      </c>
      <c r="E209" s="446">
        <v>0</v>
      </c>
      <c r="F209" s="446">
        <v>0</v>
      </c>
      <c r="G209" s="446">
        <v>0</v>
      </c>
      <c r="H209" s="446">
        <v>0</v>
      </c>
      <c r="I209" s="446">
        <v>0</v>
      </c>
      <c r="J209" s="446">
        <v>0</v>
      </c>
      <c r="K209" s="446">
        <v>0</v>
      </c>
      <c r="L209" s="446">
        <v>0</v>
      </c>
      <c r="M209" s="446">
        <v>0</v>
      </c>
      <c r="N209" s="446">
        <v>0</v>
      </c>
      <c r="O209" s="446">
        <v>0</v>
      </c>
      <c r="P209" s="446">
        <v>0</v>
      </c>
      <c r="Q209" s="446">
        <v>0</v>
      </c>
      <c r="R209" s="446">
        <v>0</v>
      </c>
      <c r="S209" s="446">
        <v>0</v>
      </c>
      <c r="T209" s="447">
        <v>0</v>
      </c>
      <c r="U209" s="446">
        <v>0</v>
      </c>
      <c r="V209" s="446"/>
    </row>
    <row r="210" spans="1:22" ht="25.5" customHeight="1">
      <c r="A210" s="445">
        <v>46274</v>
      </c>
      <c r="B210" s="446" t="s">
        <v>21</v>
      </c>
      <c r="C210" s="446" t="s">
        <v>109</v>
      </c>
      <c r="D210" s="446">
        <v>3744</v>
      </c>
      <c r="E210" s="446">
        <v>6.5</v>
      </c>
      <c r="F210" s="446">
        <v>1</v>
      </c>
      <c r="G210" s="446">
        <v>6.5</v>
      </c>
      <c r="H210" s="446">
        <v>15.5</v>
      </c>
      <c r="I210" s="446">
        <v>2</v>
      </c>
      <c r="J210" s="446">
        <v>1</v>
      </c>
      <c r="K210" s="446">
        <v>0</v>
      </c>
      <c r="L210" s="446">
        <v>2</v>
      </c>
      <c r="M210" s="446">
        <v>1</v>
      </c>
      <c r="N210" s="446">
        <v>2</v>
      </c>
      <c r="O210" s="446">
        <v>2</v>
      </c>
      <c r="P210" s="446">
        <v>0</v>
      </c>
      <c r="Q210" s="446">
        <v>0</v>
      </c>
      <c r="R210" s="446">
        <v>0</v>
      </c>
      <c r="S210" s="446">
        <v>0</v>
      </c>
      <c r="T210" s="447">
        <v>0</v>
      </c>
      <c r="U210" s="446">
        <v>795</v>
      </c>
      <c r="V210" s="446"/>
    </row>
    <row r="211" spans="1:22" ht="25.5" customHeight="1">
      <c r="A211" s="445">
        <v>46274</v>
      </c>
      <c r="B211" s="446" t="s">
        <v>21</v>
      </c>
      <c r="C211" s="446" t="s">
        <v>103</v>
      </c>
      <c r="D211" s="446">
        <v>1065</v>
      </c>
      <c r="E211" s="446">
        <v>0</v>
      </c>
      <c r="F211" s="446">
        <v>0</v>
      </c>
      <c r="G211" s="446">
        <v>0</v>
      </c>
      <c r="H211" s="446">
        <v>3.5</v>
      </c>
      <c r="I211" s="446">
        <v>1</v>
      </c>
      <c r="J211" s="446">
        <v>0</v>
      </c>
      <c r="K211" s="446">
        <v>0</v>
      </c>
      <c r="L211" s="446">
        <v>0</v>
      </c>
      <c r="M211" s="446">
        <v>0</v>
      </c>
      <c r="N211" s="446">
        <v>0</v>
      </c>
      <c r="O211" s="446">
        <v>0</v>
      </c>
      <c r="P211" s="446">
        <v>0</v>
      </c>
      <c r="Q211" s="446">
        <v>0</v>
      </c>
      <c r="R211" s="446">
        <v>0</v>
      </c>
      <c r="S211" s="446">
        <v>0</v>
      </c>
      <c r="T211" s="447">
        <v>0</v>
      </c>
      <c r="U211" s="446">
        <v>265</v>
      </c>
      <c r="V211" s="446"/>
    </row>
    <row r="212" spans="1:22" ht="25.5" customHeight="1">
      <c r="A212" s="445">
        <v>46274</v>
      </c>
      <c r="B212" s="446" t="s">
        <v>21</v>
      </c>
      <c r="C212" s="446" t="s">
        <v>112</v>
      </c>
      <c r="D212" s="446">
        <v>0</v>
      </c>
      <c r="E212" s="446">
        <v>0</v>
      </c>
      <c r="F212" s="446">
        <v>0</v>
      </c>
      <c r="G212" s="446">
        <v>0</v>
      </c>
      <c r="H212" s="446">
        <v>0</v>
      </c>
      <c r="I212" s="446">
        <v>0</v>
      </c>
      <c r="J212" s="446">
        <v>0</v>
      </c>
      <c r="K212" s="446">
        <v>0</v>
      </c>
      <c r="L212" s="446">
        <v>0</v>
      </c>
      <c r="M212" s="446">
        <v>0</v>
      </c>
      <c r="N212" s="446">
        <v>0</v>
      </c>
      <c r="O212" s="446">
        <v>0</v>
      </c>
      <c r="P212" s="446">
        <v>0</v>
      </c>
      <c r="Q212" s="446">
        <v>0</v>
      </c>
      <c r="R212" s="446">
        <v>0</v>
      </c>
      <c r="S212" s="446">
        <v>0</v>
      </c>
      <c r="T212" s="447">
        <v>0</v>
      </c>
      <c r="U212" s="446">
        <v>0</v>
      </c>
      <c r="V212" s="446"/>
    </row>
    <row r="213" spans="1:22" ht="25.5" customHeight="1">
      <c r="A213" s="445">
        <v>46275</v>
      </c>
      <c r="B213" s="446" t="s">
        <v>17</v>
      </c>
      <c r="C213" s="446" t="s">
        <v>96</v>
      </c>
      <c r="D213" s="446">
        <v>519</v>
      </c>
      <c r="E213" s="446">
        <v>0</v>
      </c>
      <c r="F213" s="446">
        <v>0</v>
      </c>
      <c r="G213" s="446">
        <v>0</v>
      </c>
      <c r="H213" s="446">
        <v>5</v>
      </c>
      <c r="I213" s="446">
        <v>1</v>
      </c>
      <c r="J213" s="446">
        <v>0</v>
      </c>
      <c r="K213" s="446">
        <v>0</v>
      </c>
      <c r="L213" s="446">
        <v>1</v>
      </c>
      <c r="M213" s="446">
        <v>0</v>
      </c>
      <c r="N213" s="446">
        <v>0</v>
      </c>
      <c r="O213" s="446">
        <v>0</v>
      </c>
      <c r="P213" s="446">
        <v>1.5</v>
      </c>
      <c r="Q213" s="446">
        <v>0</v>
      </c>
      <c r="R213" s="446">
        <v>0</v>
      </c>
      <c r="S213" s="446">
        <v>0</v>
      </c>
      <c r="T213" s="447">
        <v>0</v>
      </c>
      <c r="U213" s="446">
        <v>0</v>
      </c>
      <c r="V213" s="446"/>
    </row>
    <row r="214" spans="1:22" ht="25.5" customHeight="1">
      <c r="A214" s="445">
        <v>46275</v>
      </c>
      <c r="B214" s="446" t="s">
        <v>17</v>
      </c>
      <c r="C214" s="446" t="s">
        <v>108</v>
      </c>
      <c r="D214" s="446">
        <v>0</v>
      </c>
      <c r="E214" s="446">
        <v>0</v>
      </c>
      <c r="F214" s="446">
        <v>0</v>
      </c>
      <c r="G214" s="446">
        <v>0</v>
      </c>
      <c r="H214" s="446">
        <v>0</v>
      </c>
      <c r="I214" s="446">
        <v>0</v>
      </c>
      <c r="J214" s="446">
        <v>0</v>
      </c>
      <c r="K214" s="446">
        <v>0</v>
      </c>
      <c r="L214" s="446">
        <v>0</v>
      </c>
      <c r="M214" s="446">
        <v>0</v>
      </c>
      <c r="N214" s="446">
        <v>0</v>
      </c>
      <c r="O214" s="446">
        <v>0</v>
      </c>
      <c r="P214" s="446">
        <v>0</v>
      </c>
      <c r="Q214" s="446">
        <v>0</v>
      </c>
      <c r="R214" s="446">
        <v>0</v>
      </c>
      <c r="S214" s="446">
        <v>0</v>
      </c>
      <c r="T214" s="447">
        <v>0</v>
      </c>
      <c r="U214" s="446">
        <v>0</v>
      </c>
      <c r="V214" s="446"/>
    </row>
    <row r="215" spans="1:22" ht="25.5" customHeight="1">
      <c r="A215" s="445">
        <v>46275</v>
      </c>
      <c r="B215" s="446" t="s">
        <v>17</v>
      </c>
      <c r="C215" s="446" t="s">
        <v>101</v>
      </c>
      <c r="D215" s="446">
        <v>10510</v>
      </c>
      <c r="E215" s="446">
        <v>0</v>
      </c>
      <c r="F215" s="446">
        <v>0</v>
      </c>
      <c r="G215" s="446">
        <v>0</v>
      </c>
      <c r="H215" s="446">
        <v>23</v>
      </c>
      <c r="I215" s="446">
        <v>2</v>
      </c>
      <c r="J215" s="446">
        <v>1</v>
      </c>
      <c r="K215" s="446">
        <v>1</v>
      </c>
      <c r="L215" s="446">
        <v>2</v>
      </c>
      <c r="M215" s="446">
        <v>2</v>
      </c>
      <c r="N215" s="446">
        <v>0</v>
      </c>
      <c r="O215" s="446">
        <v>2</v>
      </c>
      <c r="P215" s="446">
        <v>1</v>
      </c>
      <c r="Q215" s="446">
        <v>0</v>
      </c>
      <c r="R215" s="446">
        <v>0</v>
      </c>
      <c r="S215" s="446">
        <v>0</v>
      </c>
      <c r="T215" s="447">
        <v>0</v>
      </c>
      <c r="U215" s="446">
        <v>0</v>
      </c>
      <c r="V215" s="446"/>
    </row>
    <row r="216" spans="1:22" ht="25.5" customHeight="1">
      <c r="A216" s="445">
        <v>46275</v>
      </c>
      <c r="B216" s="446" t="s">
        <v>17</v>
      </c>
      <c r="C216" s="446" t="s">
        <v>106</v>
      </c>
      <c r="D216" s="446">
        <v>338</v>
      </c>
      <c r="E216" s="446">
        <v>0</v>
      </c>
      <c r="F216" s="446">
        <v>0</v>
      </c>
      <c r="G216" s="446">
        <v>0</v>
      </c>
      <c r="H216" s="446">
        <v>2.2000000000000002</v>
      </c>
      <c r="I216" s="446">
        <v>0</v>
      </c>
      <c r="J216" s="446">
        <v>1</v>
      </c>
      <c r="K216" s="446">
        <v>0</v>
      </c>
      <c r="L216" s="446">
        <v>0</v>
      </c>
      <c r="M216" s="446">
        <v>0</v>
      </c>
      <c r="N216" s="446">
        <v>1</v>
      </c>
      <c r="O216" s="446">
        <v>0</v>
      </c>
      <c r="P216" s="446">
        <v>0</v>
      </c>
      <c r="Q216" s="446">
        <v>0</v>
      </c>
      <c r="R216" s="446">
        <v>0</v>
      </c>
      <c r="S216" s="446">
        <v>0</v>
      </c>
      <c r="T216" s="447">
        <v>0</v>
      </c>
      <c r="U216" s="446">
        <v>0</v>
      </c>
      <c r="V216" s="446"/>
    </row>
    <row r="217" spans="1:22" ht="25.5" customHeight="1">
      <c r="A217" s="445">
        <v>46275</v>
      </c>
      <c r="B217" s="446" t="s">
        <v>22</v>
      </c>
      <c r="C217" s="446" t="s">
        <v>23</v>
      </c>
      <c r="D217" s="446">
        <v>0</v>
      </c>
      <c r="E217" s="446">
        <v>0</v>
      </c>
      <c r="F217" s="446">
        <v>0</v>
      </c>
      <c r="G217" s="446">
        <v>0</v>
      </c>
      <c r="H217" s="446">
        <v>0</v>
      </c>
      <c r="I217" s="446">
        <v>0</v>
      </c>
      <c r="J217" s="446">
        <v>0</v>
      </c>
      <c r="K217" s="446">
        <v>0</v>
      </c>
      <c r="L217" s="446">
        <v>0</v>
      </c>
      <c r="M217" s="446">
        <v>0</v>
      </c>
      <c r="N217" s="446">
        <v>0</v>
      </c>
      <c r="O217" s="446">
        <v>0</v>
      </c>
      <c r="P217" s="446">
        <v>1</v>
      </c>
      <c r="Q217" s="446">
        <v>0</v>
      </c>
      <c r="R217" s="446">
        <v>0</v>
      </c>
      <c r="S217" s="446">
        <v>0</v>
      </c>
      <c r="T217" s="447">
        <v>0</v>
      </c>
      <c r="U217" s="446">
        <v>0</v>
      </c>
      <c r="V217" s="446"/>
    </row>
    <row r="218" spans="1:22" ht="25.5" customHeight="1">
      <c r="A218" s="445">
        <v>46275</v>
      </c>
      <c r="B218" s="446" t="s">
        <v>18</v>
      </c>
      <c r="C218" s="446" t="s">
        <v>97</v>
      </c>
      <c r="D218" s="446">
        <v>0</v>
      </c>
      <c r="E218" s="446">
        <v>0</v>
      </c>
      <c r="F218" s="446">
        <v>0</v>
      </c>
      <c r="G218" s="446">
        <v>0</v>
      </c>
      <c r="H218" s="446">
        <v>0</v>
      </c>
      <c r="I218" s="446">
        <v>0</v>
      </c>
      <c r="J218" s="446">
        <v>0</v>
      </c>
      <c r="K218" s="446">
        <v>0</v>
      </c>
      <c r="L218" s="446">
        <v>0</v>
      </c>
      <c r="M218" s="446">
        <v>0</v>
      </c>
      <c r="N218" s="446">
        <v>0</v>
      </c>
      <c r="O218" s="446">
        <v>0</v>
      </c>
      <c r="P218" s="446">
        <v>0</v>
      </c>
      <c r="Q218" s="446">
        <v>0</v>
      </c>
      <c r="R218" s="446">
        <v>0</v>
      </c>
      <c r="S218" s="446">
        <v>0</v>
      </c>
      <c r="T218" s="447">
        <v>0</v>
      </c>
      <c r="U218" s="446">
        <v>0</v>
      </c>
      <c r="V218" s="446"/>
    </row>
    <row r="219" spans="1:22" ht="25.5" customHeight="1">
      <c r="A219" s="445">
        <v>46275</v>
      </c>
      <c r="B219" s="446" t="s">
        <v>18</v>
      </c>
      <c r="C219" s="446" t="s">
        <v>98</v>
      </c>
      <c r="D219" s="446">
        <v>9289</v>
      </c>
      <c r="E219" s="446">
        <v>0</v>
      </c>
      <c r="F219" s="446">
        <v>0</v>
      </c>
      <c r="G219" s="446">
        <v>0</v>
      </c>
      <c r="H219" s="446">
        <v>20</v>
      </c>
      <c r="I219" s="446">
        <v>3</v>
      </c>
      <c r="J219" s="446">
        <v>2</v>
      </c>
      <c r="K219" s="446">
        <v>1</v>
      </c>
      <c r="L219" s="446">
        <v>1</v>
      </c>
      <c r="M219" s="446">
        <v>1</v>
      </c>
      <c r="N219" s="446">
        <v>0</v>
      </c>
      <c r="O219" s="446">
        <v>2</v>
      </c>
      <c r="P219" s="446">
        <v>1.5</v>
      </c>
      <c r="Q219" s="446">
        <v>0</v>
      </c>
      <c r="R219" s="446">
        <v>0</v>
      </c>
      <c r="S219" s="446">
        <v>0</v>
      </c>
      <c r="T219" s="447">
        <v>0</v>
      </c>
      <c r="U219" s="446">
        <v>1131</v>
      </c>
      <c r="V219" s="446"/>
    </row>
    <row r="220" spans="1:22" ht="25.5" customHeight="1">
      <c r="A220" s="445">
        <v>46275</v>
      </c>
      <c r="B220" s="446" t="s">
        <v>18</v>
      </c>
      <c r="C220" s="446" t="s">
        <v>110</v>
      </c>
      <c r="D220" s="446">
        <v>1920</v>
      </c>
      <c r="E220" s="446">
        <v>0</v>
      </c>
      <c r="F220" s="446">
        <v>0</v>
      </c>
      <c r="G220" s="446">
        <v>0</v>
      </c>
      <c r="H220" s="446">
        <v>4.5</v>
      </c>
      <c r="I220" s="446">
        <v>1</v>
      </c>
      <c r="J220" s="446">
        <v>0</v>
      </c>
      <c r="K220" s="446">
        <v>1</v>
      </c>
      <c r="L220" s="446">
        <v>0</v>
      </c>
      <c r="M220" s="446">
        <v>0</v>
      </c>
      <c r="N220" s="446">
        <v>0</v>
      </c>
      <c r="O220" s="446">
        <v>2</v>
      </c>
      <c r="P220" s="446">
        <v>1</v>
      </c>
      <c r="Q220" s="446">
        <v>0</v>
      </c>
      <c r="R220" s="446">
        <v>0</v>
      </c>
      <c r="S220" s="446">
        <v>0</v>
      </c>
      <c r="T220" s="447">
        <v>0</v>
      </c>
      <c r="U220" s="446">
        <v>0</v>
      </c>
      <c r="V220" s="446"/>
    </row>
    <row r="221" spans="1:22" ht="25.5" customHeight="1">
      <c r="A221" s="445">
        <v>46275</v>
      </c>
      <c r="B221" s="446" t="s">
        <v>19</v>
      </c>
      <c r="C221" s="446" t="s">
        <v>99</v>
      </c>
      <c r="D221" s="446">
        <v>0</v>
      </c>
      <c r="E221" s="446">
        <v>0</v>
      </c>
      <c r="F221" s="446">
        <v>0</v>
      </c>
      <c r="G221" s="446">
        <v>0</v>
      </c>
      <c r="H221" s="446">
        <v>0</v>
      </c>
      <c r="I221" s="446">
        <v>0</v>
      </c>
      <c r="J221" s="446">
        <v>0</v>
      </c>
      <c r="K221" s="446">
        <v>0</v>
      </c>
      <c r="L221" s="446">
        <v>0</v>
      </c>
      <c r="M221" s="446">
        <v>0</v>
      </c>
      <c r="N221" s="446">
        <v>0</v>
      </c>
      <c r="O221" s="446">
        <v>0</v>
      </c>
      <c r="P221" s="446">
        <v>0</v>
      </c>
      <c r="Q221" s="446">
        <v>0</v>
      </c>
      <c r="R221" s="446">
        <v>0</v>
      </c>
      <c r="S221" s="446">
        <v>0</v>
      </c>
      <c r="T221" s="447">
        <v>0</v>
      </c>
      <c r="U221" s="446">
        <v>0</v>
      </c>
      <c r="V221" s="446"/>
    </row>
    <row r="222" spans="1:22" ht="25.5" customHeight="1">
      <c r="A222" s="445">
        <v>46275</v>
      </c>
      <c r="B222" s="446" t="s">
        <v>19</v>
      </c>
      <c r="C222" s="446" t="s">
        <v>88</v>
      </c>
      <c r="D222" s="446">
        <v>6655</v>
      </c>
      <c r="E222" s="446">
        <v>0</v>
      </c>
      <c r="F222" s="446">
        <v>0</v>
      </c>
      <c r="G222" s="446">
        <v>0</v>
      </c>
      <c r="H222" s="446">
        <v>22.7</v>
      </c>
      <c r="I222" s="446">
        <v>3</v>
      </c>
      <c r="J222" s="446">
        <v>2</v>
      </c>
      <c r="K222" s="446">
        <v>0</v>
      </c>
      <c r="L222" s="446">
        <v>1</v>
      </c>
      <c r="M222" s="446">
        <v>1</v>
      </c>
      <c r="N222" s="446">
        <v>1</v>
      </c>
      <c r="O222" s="446">
        <v>1</v>
      </c>
      <c r="P222" s="446">
        <v>0</v>
      </c>
      <c r="Q222" s="446">
        <v>0</v>
      </c>
      <c r="R222" s="446">
        <v>0</v>
      </c>
      <c r="S222" s="446">
        <v>0</v>
      </c>
      <c r="T222" s="447">
        <v>0</v>
      </c>
      <c r="U222" s="446">
        <v>0</v>
      </c>
      <c r="V222" s="446"/>
    </row>
    <row r="223" spans="1:22" ht="25.5" customHeight="1">
      <c r="A223" s="445">
        <v>46275</v>
      </c>
      <c r="B223" s="446" t="s">
        <v>19</v>
      </c>
      <c r="C223" s="446" t="s">
        <v>107</v>
      </c>
      <c r="D223" s="446">
        <v>4055</v>
      </c>
      <c r="E223" s="446">
        <v>10.5</v>
      </c>
      <c r="F223" s="446">
        <v>1</v>
      </c>
      <c r="G223" s="446">
        <v>10.5</v>
      </c>
      <c r="H223" s="446">
        <v>11.5</v>
      </c>
      <c r="I223" s="446">
        <v>2</v>
      </c>
      <c r="J223" s="446">
        <v>0</v>
      </c>
      <c r="K223" s="446">
        <v>1</v>
      </c>
      <c r="L223" s="446">
        <v>1</v>
      </c>
      <c r="M223" s="446">
        <v>1</v>
      </c>
      <c r="N223" s="446">
        <v>1</v>
      </c>
      <c r="O223" s="446">
        <v>1</v>
      </c>
      <c r="P223" s="446">
        <v>1</v>
      </c>
      <c r="Q223" s="446">
        <v>0</v>
      </c>
      <c r="R223" s="446">
        <v>0</v>
      </c>
      <c r="S223" s="446">
        <v>0</v>
      </c>
      <c r="T223" s="447">
        <v>0</v>
      </c>
      <c r="U223" s="446">
        <v>985</v>
      </c>
      <c r="V223" s="446"/>
    </row>
    <row r="224" spans="1:22" ht="25.5" customHeight="1">
      <c r="A224" s="445">
        <v>46275</v>
      </c>
      <c r="B224" s="446" t="s">
        <v>20</v>
      </c>
      <c r="C224" s="446" t="s">
        <v>93</v>
      </c>
      <c r="D224" s="446">
        <v>7920</v>
      </c>
      <c r="E224" s="446">
        <v>6.5</v>
      </c>
      <c r="F224" s="446">
        <v>1</v>
      </c>
      <c r="G224" s="446">
        <v>6.5</v>
      </c>
      <c r="H224" s="446">
        <v>22</v>
      </c>
      <c r="I224" s="446">
        <v>4</v>
      </c>
      <c r="J224" s="446">
        <v>2</v>
      </c>
      <c r="K224" s="446">
        <v>1</v>
      </c>
      <c r="L224" s="446">
        <v>2</v>
      </c>
      <c r="M224" s="446">
        <v>1</v>
      </c>
      <c r="N224" s="446">
        <v>3</v>
      </c>
      <c r="O224" s="446">
        <v>2</v>
      </c>
      <c r="P224" s="446">
        <v>0</v>
      </c>
      <c r="Q224" s="446">
        <v>1.25</v>
      </c>
      <c r="R224" s="446">
        <v>0</v>
      </c>
      <c r="S224" s="446">
        <v>0</v>
      </c>
      <c r="T224" s="447">
        <v>0</v>
      </c>
      <c r="U224" s="446">
        <v>0</v>
      </c>
      <c r="V224" s="446"/>
    </row>
    <row r="225" spans="1:22" ht="25.5" customHeight="1">
      <c r="A225" s="445">
        <v>46275</v>
      </c>
      <c r="B225" s="446" t="s">
        <v>20</v>
      </c>
      <c r="C225" s="446" t="s">
        <v>105</v>
      </c>
      <c r="D225" s="446">
        <v>-50</v>
      </c>
      <c r="E225" s="446">
        <v>0</v>
      </c>
      <c r="F225" s="446">
        <v>0</v>
      </c>
      <c r="G225" s="446">
        <v>0</v>
      </c>
      <c r="H225" s="446">
        <v>0</v>
      </c>
      <c r="I225" s="446">
        <v>0</v>
      </c>
      <c r="J225" s="446">
        <v>0</v>
      </c>
      <c r="K225" s="446">
        <v>0</v>
      </c>
      <c r="L225" s="446">
        <v>0</v>
      </c>
      <c r="M225" s="446">
        <v>0</v>
      </c>
      <c r="N225" s="446">
        <v>0</v>
      </c>
      <c r="O225" s="446">
        <v>0</v>
      </c>
      <c r="P225" s="446">
        <v>0</v>
      </c>
      <c r="Q225" s="446">
        <v>0</v>
      </c>
      <c r="R225" s="446">
        <v>0</v>
      </c>
      <c r="S225" s="446">
        <v>0</v>
      </c>
      <c r="T225" s="447">
        <v>0</v>
      </c>
      <c r="U225" s="446">
        <v>0</v>
      </c>
      <c r="V225" s="446"/>
    </row>
    <row r="226" spans="1:22" ht="25.5" customHeight="1">
      <c r="A226" s="445">
        <v>46275</v>
      </c>
      <c r="B226" s="446" t="s">
        <v>20</v>
      </c>
      <c r="C226" s="446" t="s">
        <v>102</v>
      </c>
      <c r="D226" s="446">
        <v>7396.2</v>
      </c>
      <c r="E226" s="446">
        <v>0</v>
      </c>
      <c r="F226" s="446">
        <v>0</v>
      </c>
      <c r="G226" s="446">
        <v>0</v>
      </c>
      <c r="H226" s="446">
        <v>16.75</v>
      </c>
      <c r="I226" s="446">
        <v>5</v>
      </c>
      <c r="J226" s="446">
        <v>0</v>
      </c>
      <c r="K226" s="446">
        <v>1</v>
      </c>
      <c r="L226" s="446">
        <v>1</v>
      </c>
      <c r="M226" s="446">
        <v>0</v>
      </c>
      <c r="N226" s="446">
        <v>0</v>
      </c>
      <c r="O226" s="446">
        <v>4</v>
      </c>
      <c r="P226" s="446">
        <v>0</v>
      </c>
      <c r="Q226" s="446">
        <v>0</v>
      </c>
      <c r="R226" s="446">
        <v>0</v>
      </c>
      <c r="S226" s="446">
        <v>0</v>
      </c>
      <c r="T226" s="447">
        <v>0</v>
      </c>
      <c r="U226" s="446">
        <v>1513.8</v>
      </c>
      <c r="V226" s="446"/>
    </row>
    <row r="227" spans="1:22" ht="25.5" customHeight="1">
      <c r="A227" s="445">
        <v>46275</v>
      </c>
      <c r="B227" s="446" t="s">
        <v>20</v>
      </c>
      <c r="C227" s="446" t="s">
        <v>111</v>
      </c>
      <c r="D227" s="446">
        <v>7722</v>
      </c>
      <c r="E227" s="446">
        <v>0</v>
      </c>
      <c r="F227" s="446">
        <v>0</v>
      </c>
      <c r="G227" s="446">
        <v>0</v>
      </c>
      <c r="H227" s="446">
        <v>32.25</v>
      </c>
      <c r="I227" s="446">
        <v>2</v>
      </c>
      <c r="J227" s="446">
        <v>1</v>
      </c>
      <c r="K227" s="446">
        <v>0</v>
      </c>
      <c r="L227" s="446">
        <v>1</v>
      </c>
      <c r="M227" s="446">
        <v>1</v>
      </c>
      <c r="N227" s="446">
        <v>1</v>
      </c>
      <c r="O227" s="446">
        <v>2</v>
      </c>
      <c r="P227" s="446">
        <v>1</v>
      </c>
      <c r="Q227" s="446">
        <v>0</v>
      </c>
      <c r="R227" s="446">
        <v>0</v>
      </c>
      <c r="S227" s="446">
        <v>0</v>
      </c>
      <c r="T227" s="447">
        <v>0</v>
      </c>
      <c r="U227" s="446">
        <v>0</v>
      </c>
      <c r="V227" s="446"/>
    </row>
    <row r="228" spans="1:22" ht="25.5" customHeight="1">
      <c r="A228" s="445">
        <v>46275</v>
      </c>
      <c r="B228" s="446" t="s">
        <v>21</v>
      </c>
      <c r="C228" s="446" t="s">
        <v>90</v>
      </c>
      <c r="D228" s="446">
        <v>0</v>
      </c>
      <c r="E228" s="446">
        <v>0</v>
      </c>
      <c r="F228" s="446">
        <v>0</v>
      </c>
      <c r="G228" s="446">
        <v>0</v>
      </c>
      <c r="H228" s="446">
        <v>0</v>
      </c>
      <c r="I228" s="446">
        <v>0</v>
      </c>
      <c r="J228" s="446">
        <v>0</v>
      </c>
      <c r="K228" s="446">
        <v>0</v>
      </c>
      <c r="L228" s="446">
        <v>0</v>
      </c>
      <c r="M228" s="446">
        <v>0</v>
      </c>
      <c r="N228" s="446">
        <v>0</v>
      </c>
      <c r="O228" s="446">
        <v>0</v>
      </c>
      <c r="P228" s="446">
        <v>0</v>
      </c>
      <c r="Q228" s="446">
        <v>0</v>
      </c>
      <c r="R228" s="446">
        <v>0</v>
      </c>
      <c r="S228" s="446">
        <v>0</v>
      </c>
      <c r="T228" s="447">
        <v>0</v>
      </c>
      <c r="U228" s="446">
        <v>0</v>
      </c>
      <c r="V228" s="446"/>
    </row>
    <row r="229" spans="1:22" ht="25.5" customHeight="1">
      <c r="A229" s="445">
        <v>46275</v>
      </c>
      <c r="B229" s="446" t="s">
        <v>21</v>
      </c>
      <c r="C229" s="446" t="s">
        <v>109</v>
      </c>
      <c r="D229" s="446">
        <v>3230</v>
      </c>
      <c r="E229" s="446">
        <v>0</v>
      </c>
      <c r="F229" s="446">
        <v>0</v>
      </c>
      <c r="G229" s="446">
        <v>0</v>
      </c>
      <c r="H229" s="446">
        <v>4</v>
      </c>
      <c r="I229" s="446">
        <v>1</v>
      </c>
      <c r="J229" s="446">
        <v>1</v>
      </c>
      <c r="K229" s="446">
        <v>1</v>
      </c>
      <c r="L229" s="446">
        <v>0</v>
      </c>
      <c r="M229" s="446">
        <v>0</v>
      </c>
      <c r="N229" s="446">
        <v>0</v>
      </c>
      <c r="O229" s="446">
        <v>0</v>
      </c>
      <c r="P229" s="446">
        <v>0</v>
      </c>
      <c r="Q229" s="446">
        <v>0</v>
      </c>
      <c r="R229" s="446">
        <v>0</v>
      </c>
      <c r="S229" s="446">
        <v>0</v>
      </c>
      <c r="T229" s="447">
        <v>0</v>
      </c>
      <c r="U229" s="446">
        <v>235</v>
      </c>
      <c r="V229" s="446"/>
    </row>
    <row r="230" spans="1:22" ht="25.5" customHeight="1">
      <c r="A230" s="445">
        <v>46275</v>
      </c>
      <c r="B230" s="446" t="s">
        <v>21</v>
      </c>
      <c r="C230" s="446" t="s">
        <v>103</v>
      </c>
      <c r="D230" s="446">
        <v>2882.2</v>
      </c>
      <c r="E230" s="446">
        <v>0</v>
      </c>
      <c r="F230" s="446">
        <v>0</v>
      </c>
      <c r="G230" s="446">
        <v>0</v>
      </c>
      <c r="H230" s="446">
        <v>7.5</v>
      </c>
      <c r="I230" s="446">
        <v>2</v>
      </c>
      <c r="J230" s="446">
        <v>1</v>
      </c>
      <c r="K230" s="446">
        <v>1</v>
      </c>
      <c r="L230" s="446">
        <v>0</v>
      </c>
      <c r="M230" s="446">
        <v>0</v>
      </c>
      <c r="N230" s="446">
        <v>0</v>
      </c>
      <c r="O230" s="446">
        <v>1</v>
      </c>
      <c r="P230" s="446">
        <v>0</v>
      </c>
      <c r="Q230" s="446">
        <v>0</v>
      </c>
      <c r="R230" s="446">
        <v>0</v>
      </c>
      <c r="S230" s="446">
        <v>0</v>
      </c>
      <c r="T230" s="447">
        <v>0</v>
      </c>
      <c r="U230" s="446">
        <v>230</v>
      </c>
      <c r="V230" s="446"/>
    </row>
    <row r="231" spans="1:22" ht="25.5" customHeight="1">
      <c r="A231" s="445">
        <v>46275</v>
      </c>
      <c r="B231" s="446" t="s">
        <v>21</v>
      </c>
      <c r="C231" s="446" t="s">
        <v>112</v>
      </c>
      <c r="D231" s="446">
        <v>6795.2</v>
      </c>
      <c r="E231" s="446">
        <v>0</v>
      </c>
      <c r="F231" s="446">
        <v>0</v>
      </c>
      <c r="G231" s="446">
        <v>0</v>
      </c>
      <c r="H231" s="446">
        <v>19</v>
      </c>
      <c r="I231" s="446">
        <v>1</v>
      </c>
      <c r="J231" s="446">
        <v>1</v>
      </c>
      <c r="K231" s="446">
        <v>0</v>
      </c>
      <c r="L231" s="446">
        <v>1</v>
      </c>
      <c r="M231" s="446">
        <v>1</v>
      </c>
      <c r="N231" s="446">
        <v>1</v>
      </c>
      <c r="O231" s="446">
        <v>1</v>
      </c>
      <c r="P231" s="446">
        <v>0</v>
      </c>
      <c r="Q231" s="446">
        <v>0</v>
      </c>
      <c r="R231" s="446">
        <v>0</v>
      </c>
      <c r="S231" s="446">
        <v>0</v>
      </c>
      <c r="T231" s="447">
        <v>100</v>
      </c>
      <c r="U231" s="446">
        <v>310</v>
      </c>
      <c r="V231" s="446"/>
    </row>
    <row r="232" spans="1:22" ht="25.5" customHeight="1">
      <c r="A232" s="445">
        <v>46276</v>
      </c>
      <c r="B232" s="446" t="s">
        <v>17</v>
      </c>
      <c r="C232" s="446" t="s">
        <v>96</v>
      </c>
      <c r="D232" s="446">
        <v>22822.799999999999</v>
      </c>
      <c r="E232" s="446">
        <v>0</v>
      </c>
      <c r="F232" s="446">
        <v>0</v>
      </c>
      <c r="G232" s="446">
        <v>0</v>
      </c>
      <c r="H232" s="446">
        <v>40</v>
      </c>
      <c r="I232" s="446">
        <v>6</v>
      </c>
      <c r="J232" s="446">
        <v>1</v>
      </c>
      <c r="K232" s="446">
        <v>1</v>
      </c>
      <c r="L232" s="446">
        <v>4</v>
      </c>
      <c r="M232" s="446">
        <v>2</v>
      </c>
      <c r="N232" s="446">
        <v>1</v>
      </c>
      <c r="O232" s="446">
        <v>5</v>
      </c>
      <c r="P232" s="446">
        <v>0</v>
      </c>
      <c r="Q232" s="446">
        <v>0</v>
      </c>
      <c r="R232" s="446">
        <v>0</v>
      </c>
      <c r="S232" s="446">
        <v>0</v>
      </c>
      <c r="T232" s="447">
        <v>0</v>
      </c>
      <c r="U232" s="446">
        <v>3613.02</v>
      </c>
      <c r="V232" s="446"/>
    </row>
    <row r="233" spans="1:22" ht="25.5" customHeight="1">
      <c r="A233" s="445">
        <v>46276</v>
      </c>
      <c r="B233" s="446" t="s">
        <v>17</v>
      </c>
      <c r="C233" s="446" t="s">
        <v>108</v>
      </c>
      <c r="D233" s="446">
        <v>4079</v>
      </c>
      <c r="E233" s="446">
        <v>0</v>
      </c>
      <c r="F233" s="446">
        <v>0</v>
      </c>
      <c r="G233" s="446">
        <v>0</v>
      </c>
      <c r="H233" s="446">
        <v>4</v>
      </c>
      <c r="I233" s="446">
        <v>1</v>
      </c>
      <c r="J233" s="446">
        <v>1</v>
      </c>
      <c r="K233" s="446">
        <v>0</v>
      </c>
      <c r="L233" s="446">
        <v>0</v>
      </c>
      <c r="M233" s="446">
        <v>0</v>
      </c>
      <c r="N233" s="446">
        <v>0</v>
      </c>
      <c r="O233" s="446">
        <v>1</v>
      </c>
      <c r="P233" s="446">
        <v>0</v>
      </c>
      <c r="Q233" s="446">
        <v>0</v>
      </c>
      <c r="R233" s="446">
        <v>0</v>
      </c>
      <c r="S233" s="446">
        <v>0</v>
      </c>
      <c r="T233" s="447">
        <v>0</v>
      </c>
      <c r="U233" s="446">
        <v>1901.02</v>
      </c>
      <c r="V233" s="446"/>
    </row>
    <row r="234" spans="1:22" ht="25.5" customHeight="1">
      <c r="A234" s="445">
        <v>46276</v>
      </c>
      <c r="B234" s="446" t="s">
        <v>17</v>
      </c>
      <c r="C234" s="446" t="s">
        <v>101</v>
      </c>
      <c r="D234" s="446">
        <v>750</v>
      </c>
      <c r="E234" s="446">
        <v>6.5</v>
      </c>
      <c r="F234" s="446">
        <v>1</v>
      </c>
      <c r="G234" s="446">
        <v>6.5</v>
      </c>
      <c r="H234" s="446">
        <v>9.5</v>
      </c>
      <c r="I234" s="446">
        <v>1</v>
      </c>
      <c r="J234" s="446">
        <v>1</v>
      </c>
      <c r="K234" s="446">
        <v>1</v>
      </c>
      <c r="L234" s="446">
        <v>1</v>
      </c>
      <c r="M234" s="446">
        <v>0</v>
      </c>
      <c r="N234" s="446">
        <v>2</v>
      </c>
      <c r="O234" s="446">
        <v>1</v>
      </c>
      <c r="P234" s="446">
        <v>0</v>
      </c>
      <c r="Q234" s="446">
        <v>0</v>
      </c>
      <c r="R234" s="446">
        <v>0</v>
      </c>
      <c r="S234" s="446">
        <v>0</v>
      </c>
      <c r="T234" s="447">
        <v>0</v>
      </c>
      <c r="U234" s="446">
        <v>0</v>
      </c>
      <c r="V234" s="446"/>
    </row>
    <row r="235" spans="1:22" ht="25.5" customHeight="1">
      <c r="A235" s="445">
        <v>46276</v>
      </c>
      <c r="B235" s="446" t="s">
        <v>17</v>
      </c>
      <c r="C235" s="446" t="s">
        <v>106</v>
      </c>
      <c r="D235" s="446">
        <v>0</v>
      </c>
      <c r="E235" s="446">
        <v>0</v>
      </c>
      <c r="F235" s="446">
        <v>0</v>
      </c>
      <c r="G235" s="446">
        <v>0</v>
      </c>
      <c r="H235" s="446">
        <v>0</v>
      </c>
      <c r="I235" s="446">
        <v>0</v>
      </c>
      <c r="J235" s="446">
        <v>0</v>
      </c>
      <c r="K235" s="446">
        <v>0</v>
      </c>
      <c r="L235" s="446">
        <v>0</v>
      </c>
      <c r="M235" s="446">
        <v>0</v>
      </c>
      <c r="N235" s="446">
        <v>0</v>
      </c>
      <c r="O235" s="446">
        <v>0</v>
      </c>
      <c r="P235" s="446">
        <v>0</v>
      </c>
      <c r="Q235" s="446">
        <v>0</v>
      </c>
      <c r="R235" s="446">
        <v>0</v>
      </c>
      <c r="S235" s="446">
        <v>0</v>
      </c>
      <c r="T235" s="447">
        <v>0</v>
      </c>
      <c r="U235" s="446">
        <v>0</v>
      </c>
      <c r="V235" s="446"/>
    </row>
    <row r="236" spans="1:22" ht="25.5" customHeight="1">
      <c r="A236" s="445">
        <v>46276</v>
      </c>
      <c r="B236" s="446" t="s">
        <v>22</v>
      </c>
      <c r="C236" s="446" t="s">
        <v>23</v>
      </c>
      <c r="D236" s="446">
        <v>0</v>
      </c>
      <c r="E236" s="446">
        <v>0</v>
      </c>
      <c r="F236" s="446">
        <v>0</v>
      </c>
      <c r="G236" s="446">
        <v>0</v>
      </c>
      <c r="H236" s="446">
        <v>0</v>
      </c>
      <c r="I236" s="446">
        <v>0</v>
      </c>
      <c r="J236" s="446">
        <v>0</v>
      </c>
      <c r="K236" s="446">
        <v>0</v>
      </c>
      <c r="L236" s="446">
        <v>0</v>
      </c>
      <c r="M236" s="446">
        <v>0</v>
      </c>
      <c r="N236" s="446">
        <v>0</v>
      </c>
      <c r="O236" s="446">
        <v>0</v>
      </c>
      <c r="P236" s="446">
        <v>0</v>
      </c>
      <c r="Q236" s="446">
        <v>0</v>
      </c>
      <c r="R236" s="446">
        <v>0</v>
      </c>
      <c r="S236" s="446">
        <v>0</v>
      </c>
      <c r="T236" s="447">
        <v>0</v>
      </c>
      <c r="U236" s="446">
        <v>0</v>
      </c>
      <c r="V236" s="446"/>
    </row>
    <row r="237" spans="1:22" ht="25.5" customHeight="1">
      <c r="A237" s="445">
        <v>46276</v>
      </c>
      <c r="B237" s="446" t="s">
        <v>18</v>
      </c>
      <c r="C237" s="446" t="s">
        <v>97</v>
      </c>
      <c r="D237" s="446">
        <v>0</v>
      </c>
      <c r="E237" s="446">
        <v>0</v>
      </c>
      <c r="F237" s="446">
        <v>0</v>
      </c>
      <c r="G237" s="446">
        <v>0</v>
      </c>
      <c r="H237" s="446">
        <v>0</v>
      </c>
      <c r="I237" s="446">
        <v>0</v>
      </c>
      <c r="J237" s="446">
        <v>0</v>
      </c>
      <c r="K237" s="446">
        <v>0</v>
      </c>
      <c r="L237" s="446">
        <v>0</v>
      </c>
      <c r="M237" s="446">
        <v>0</v>
      </c>
      <c r="N237" s="446">
        <v>0</v>
      </c>
      <c r="O237" s="446">
        <v>0</v>
      </c>
      <c r="P237" s="446">
        <v>0</v>
      </c>
      <c r="Q237" s="446">
        <v>0</v>
      </c>
      <c r="R237" s="446">
        <v>0</v>
      </c>
      <c r="S237" s="446">
        <v>0</v>
      </c>
      <c r="T237" s="447">
        <v>0</v>
      </c>
      <c r="U237" s="446">
        <v>0</v>
      </c>
      <c r="V237" s="446"/>
    </row>
    <row r="238" spans="1:22" ht="25.5" customHeight="1">
      <c r="A238" s="445">
        <v>46276</v>
      </c>
      <c r="B238" s="446" t="s">
        <v>18</v>
      </c>
      <c r="C238" s="446" t="s">
        <v>98</v>
      </c>
      <c r="D238" s="446">
        <v>0</v>
      </c>
      <c r="E238" s="446">
        <v>0</v>
      </c>
      <c r="F238" s="446">
        <v>0</v>
      </c>
      <c r="G238" s="446">
        <v>0</v>
      </c>
      <c r="H238" s="446">
        <v>0</v>
      </c>
      <c r="I238" s="446">
        <v>0</v>
      </c>
      <c r="J238" s="446">
        <v>0</v>
      </c>
      <c r="K238" s="446">
        <v>0</v>
      </c>
      <c r="L238" s="446">
        <v>0</v>
      </c>
      <c r="M238" s="446">
        <v>0</v>
      </c>
      <c r="N238" s="446">
        <v>0</v>
      </c>
      <c r="O238" s="446">
        <v>0</v>
      </c>
      <c r="P238" s="446">
        <v>0</v>
      </c>
      <c r="Q238" s="446">
        <v>0</v>
      </c>
      <c r="R238" s="446">
        <v>0</v>
      </c>
      <c r="S238" s="446">
        <v>0</v>
      </c>
      <c r="T238" s="447">
        <v>0</v>
      </c>
      <c r="U238" s="446">
        <v>0</v>
      </c>
      <c r="V238" s="446"/>
    </row>
    <row r="239" spans="1:22" ht="25.5" customHeight="1">
      <c r="A239" s="445">
        <v>46276</v>
      </c>
      <c r="B239" s="446" t="s">
        <v>18</v>
      </c>
      <c r="C239" s="446" t="s">
        <v>110</v>
      </c>
      <c r="D239" s="446">
        <v>4587</v>
      </c>
      <c r="E239" s="446">
        <v>3</v>
      </c>
      <c r="F239" s="446">
        <v>0</v>
      </c>
      <c r="G239" s="446">
        <v>3</v>
      </c>
      <c r="H239" s="446">
        <v>12.5</v>
      </c>
      <c r="I239" s="446">
        <v>2</v>
      </c>
      <c r="J239" s="446">
        <v>1</v>
      </c>
      <c r="K239" s="446">
        <v>0</v>
      </c>
      <c r="L239" s="446">
        <v>1</v>
      </c>
      <c r="M239" s="446">
        <v>1</v>
      </c>
      <c r="N239" s="446">
        <v>0</v>
      </c>
      <c r="O239" s="446">
        <v>1</v>
      </c>
      <c r="P239" s="446">
        <v>0</v>
      </c>
      <c r="Q239" s="446">
        <v>0</v>
      </c>
      <c r="R239" s="446">
        <v>0</v>
      </c>
      <c r="S239" s="446">
        <v>0</v>
      </c>
      <c r="T239" s="447">
        <v>0</v>
      </c>
      <c r="U239" s="446">
        <v>0</v>
      </c>
      <c r="V239" s="446"/>
    </row>
    <row r="240" spans="1:22" ht="25.5" customHeight="1">
      <c r="A240" s="445">
        <v>46276</v>
      </c>
      <c r="B240" s="446" t="s">
        <v>19</v>
      </c>
      <c r="C240" s="446" t="s">
        <v>99</v>
      </c>
      <c r="D240" s="446">
        <v>7670</v>
      </c>
      <c r="E240" s="446">
        <v>4.5</v>
      </c>
      <c r="F240" s="446">
        <v>0</v>
      </c>
      <c r="G240" s="446">
        <v>4.5</v>
      </c>
      <c r="H240" s="446">
        <v>11.5</v>
      </c>
      <c r="I240" s="446">
        <v>2</v>
      </c>
      <c r="J240" s="446">
        <v>0</v>
      </c>
      <c r="K240" s="446">
        <v>1</v>
      </c>
      <c r="L240" s="446">
        <v>1</v>
      </c>
      <c r="M240" s="446">
        <v>1</v>
      </c>
      <c r="N240" s="446">
        <v>1</v>
      </c>
      <c r="O240" s="446">
        <v>2</v>
      </c>
      <c r="P240" s="446">
        <v>1</v>
      </c>
      <c r="Q240" s="446">
        <v>0.75</v>
      </c>
      <c r="R240" s="446">
        <v>0</v>
      </c>
      <c r="S240" s="446">
        <v>0</v>
      </c>
      <c r="T240" s="447">
        <v>0</v>
      </c>
      <c r="U240" s="446">
        <v>1130</v>
      </c>
      <c r="V240" s="446"/>
    </row>
    <row r="241" spans="1:22" ht="25.5" customHeight="1">
      <c r="A241" s="445">
        <v>46276</v>
      </c>
      <c r="B241" s="446" t="s">
        <v>19</v>
      </c>
      <c r="C241" s="446" t="s">
        <v>88</v>
      </c>
      <c r="D241" s="446">
        <v>9521</v>
      </c>
      <c r="E241" s="446">
        <v>0</v>
      </c>
      <c r="F241" s="446">
        <v>0</v>
      </c>
      <c r="G241" s="446">
        <v>0</v>
      </c>
      <c r="H241" s="446">
        <v>14</v>
      </c>
      <c r="I241" s="446">
        <v>3</v>
      </c>
      <c r="J241" s="446">
        <v>1</v>
      </c>
      <c r="K241" s="446">
        <v>2</v>
      </c>
      <c r="L241" s="446">
        <v>0</v>
      </c>
      <c r="M241" s="446">
        <v>1</v>
      </c>
      <c r="N241" s="446">
        <v>0</v>
      </c>
      <c r="O241" s="446">
        <v>2</v>
      </c>
      <c r="P241" s="446">
        <v>1</v>
      </c>
      <c r="Q241" s="446">
        <v>0</v>
      </c>
      <c r="R241" s="446">
        <v>0</v>
      </c>
      <c r="S241" s="446">
        <v>0</v>
      </c>
      <c r="T241" s="447">
        <v>0</v>
      </c>
      <c r="U241" s="446">
        <v>1613</v>
      </c>
      <c r="V241" s="446"/>
    </row>
    <row r="242" spans="1:22" ht="25.5" customHeight="1">
      <c r="A242" s="445">
        <v>46276</v>
      </c>
      <c r="B242" s="446" t="s">
        <v>19</v>
      </c>
      <c r="C242" s="446" t="s">
        <v>107</v>
      </c>
      <c r="D242" s="446">
        <v>0</v>
      </c>
      <c r="E242" s="446">
        <v>0</v>
      </c>
      <c r="F242" s="446">
        <v>0</v>
      </c>
      <c r="G242" s="446">
        <v>0</v>
      </c>
      <c r="H242" s="446">
        <v>0</v>
      </c>
      <c r="I242" s="446">
        <v>0</v>
      </c>
      <c r="J242" s="446">
        <v>0</v>
      </c>
      <c r="K242" s="446">
        <v>0</v>
      </c>
      <c r="L242" s="446">
        <v>0</v>
      </c>
      <c r="M242" s="446">
        <v>0</v>
      </c>
      <c r="N242" s="446">
        <v>0</v>
      </c>
      <c r="O242" s="446">
        <v>0</v>
      </c>
      <c r="P242" s="446">
        <v>0</v>
      </c>
      <c r="Q242" s="446">
        <v>0</v>
      </c>
      <c r="R242" s="446">
        <v>0</v>
      </c>
      <c r="S242" s="446">
        <v>0</v>
      </c>
      <c r="T242" s="447">
        <v>0</v>
      </c>
      <c r="U242" s="446">
        <v>0</v>
      </c>
      <c r="V242" s="446"/>
    </row>
    <row r="243" spans="1:22" ht="25.5" customHeight="1">
      <c r="A243" s="445">
        <v>46276</v>
      </c>
      <c r="B243" s="446" t="s">
        <v>20</v>
      </c>
      <c r="C243" s="446" t="s">
        <v>93</v>
      </c>
      <c r="D243" s="446">
        <v>7543</v>
      </c>
      <c r="E243" s="446">
        <v>0</v>
      </c>
      <c r="F243" s="446">
        <v>0</v>
      </c>
      <c r="G243" s="446">
        <v>0</v>
      </c>
      <c r="H243" s="446">
        <v>30.25</v>
      </c>
      <c r="I243" s="446">
        <v>3</v>
      </c>
      <c r="J243" s="446">
        <v>2</v>
      </c>
      <c r="K243" s="446">
        <v>2</v>
      </c>
      <c r="L243" s="446">
        <v>2</v>
      </c>
      <c r="M243" s="446">
        <v>2</v>
      </c>
      <c r="N243" s="446">
        <v>0</v>
      </c>
      <c r="O243" s="446">
        <v>2</v>
      </c>
      <c r="P243" s="446">
        <v>0</v>
      </c>
      <c r="Q243" s="446">
        <v>0</v>
      </c>
      <c r="R243" s="446">
        <v>0</v>
      </c>
      <c r="S243" s="446">
        <v>0</v>
      </c>
      <c r="T243" s="447">
        <v>0</v>
      </c>
      <c r="U243" s="446">
        <v>0</v>
      </c>
      <c r="V243" s="446"/>
    </row>
    <row r="244" spans="1:22" ht="25.5" customHeight="1">
      <c r="A244" s="445">
        <v>46276</v>
      </c>
      <c r="B244" s="446" t="s">
        <v>20</v>
      </c>
      <c r="C244" s="446" t="s">
        <v>105</v>
      </c>
      <c r="D244" s="446">
        <v>0</v>
      </c>
      <c r="E244" s="446">
        <v>0</v>
      </c>
      <c r="F244" s="446">
        <v>0</v>
      </c>
      <c r="G244" s="446">
        <v>0</v>
      </c>
      <c r="H244" s="446">
        <v>0</v>
      </c>
      <c r="I244" s="446">
        <v>0</v>
      </c>
      <c r="J244" s="446">
        <v>0</v>
      </c>
      <c r="K244" s="446">
        <v>0</v>
      </c>
      <c r="L244" s="446">
        <v>0</v>
      </c>
      <c r="M244" s="446">
        <v>0</v>
      </c>
      <c r="N244" s="446">
        <v>0</v>
      </c>
      <c r="O244" s="446">
        <v>0</v>
      </c>
      <c r="P244" s="446">
        <v>0</v>
      </c>
      <c r="Q244" s="446">
        <v>0</v>
      </c>
      <c r="R244" s="446">
        <v>0</v>
      </c>
      <c r="S244" s="446">
        <v>0</v>
      </c>
      <c r="T244" s="447">
        <v>0</v>
      </c>
      <c r="U244" s="446">
        <v>0</v>
      </c>
      <c r="V244" s="446"/>
    </row>
    <row r="245" spans="1:22" ht="25.5" customHeight="1">
      <c r="A245" s="445">
        <v>46276</v>
      </c>
      <c r="B245" s="446" t="s">
        <v>20</v>
      </c>
      <c r="C245" s="446" t="s">
        <v>102</v>
      </c>
      <c r="D245" s="446">
        <v>4046</v>
      </c>
      <c r="E245" s="446">
        <v>0</v>
      </c>
      <c r="F245" s="446">
        <v>0</v>
      </c>
      <c r="G245" s="446">
        <v>0</v>
      </c>
      <c r="H245" s="446">
        <v>12</v>
      </c>
      <c r="I245" s="446">
        <v>3</v>
      </c>
      <c r="J245" s="446">
        <v>0</v>
      </c>
      <c r="K245" s="446">
        <v>1</v>
      </c>
      <c r="L245" s="446">
        <v>1</v>
      </c>
      <c r="M245" s="446">
        <v>1</v>
      </c>
      <c r="N245" s="446">
        <v>1</v>
      </c>
      <c r="O245" s="446">
        <v>1</v>
      </c>
      <c r="P245" s="446">
        <v>1</v>
      </c>
      <c r="Q245" s="446">
        <v>0</v>
      </c>
      <c r="R245" s="446">
        <v>0</v>
      </c>
      <c r="S245" s="446">
        <v>0</v>
      </c>
      <c r="T245" s="447">
        <v>0</v>
      </c>
      <c r="U245" s="446">
        <v>2073</v>
      </c>
      <c r="V245" s="446"/>
    </row>
    <row r="246" spans="1:22" ht="25.5" customHeight="1">
      <c r="A246" s="445">
        <v>46276</v>
      </c>
      <c r="B246" s="446" t="s">
        <v>20</v>
      </c>
      <c r="C246" s="446" t="s">
        <v>111</v>
      </c>
      <c r="D246" s="446">
        <v>200</v>
      </c>
      <c r="E246" s="446">
        <v>0</v>
      </c>
      <c r="F246" s="446">
        <v>0</v>
      </c>
      <c r="G246" s="446">
        <v>0</v>
      </c>
      <c r="H246" s="446">
        <v>0</v>
      </c>
      <c r="I246" s="446">
        <v>0</v>
      </c>
      <c r="J246" s="446">
        <v>0</v>
      </c>
      <c r="K246" s="446">
        <v>0</v>
      </c>
      <c r="L246" s="446">
        <v>0</v>
      </c>
      <c r="M246" s="446">
        <v>0</v>
      </c>
      <c r="N246" s="446">
        <v>0</v>
      </c>
      <c r="O246" s="446">
        <v>0</v>
      </c>
      <c r="P246" s="446">
        <v>0</v>
      </c>
      <c r="Q246" s="446">
        <v>0</v>
      </c>
      <c r="R246" s="446">
        <v>0</v>
      </c>
      <c r="S246" s="446">
        <v>0</v>
      </c>
      <c r="T246" s="447">
        <v>0</v>
      </c>
      <c r="U246" s="446">
        <v>0</v>
      </c>
      <c r="V246" s="446"/>
    </row>
    <row r="247" spans="1:22" ht="25.5" customHeight="1">
      <c r="A247" s="445">
        <v>46276</v>
      </c>
      <c r="B247" s="446" t="s">
        <v>21</v>
      </c>
      <c r="C247" s="446" t="s">
        <v>90</v>
      </c>
      <c r="D247" s="446">
        <v>6148</v>
      </c>
      <c r="E247" s="446">
        <v>0</v>
      </c>
      <c r="F247" s="446">
        <v>0</v>
      </c>
      <c r="G247" s="446">
        <v>0</v>
      </c>
      <c r="H247" s="446">
        <v>28.25</v>
      </c>
      <c r="I247" s="446">
        <v>4</v>
      </c>
      <c r="J247" s="446">
        <v>1</v>
      </c>
      <c r="K247" s="446">
        <v>1</v>
      </c>
      <c r="L247" s="446">
        <v>3</v>
      </c>
      <c r="M247" s="446">
        <v>1</v>
      </c>
      <c r="N247" s="446">
        <v>1</v>
      </c>
      <c r="O247" s="446">
        <v>1</v>
      </c>
      <c r="P247" s="446">
        <v>1</v>
      </c>
      <c r="Q247" s="446">
        <v>0</v>
      </c>
      <c r="R247" s="446">
        <v>0</v>
      </c>
      <c r="S247" s="446">
        <v>0</v>
      </c>
      <c r="T247" s="447">
        <v>0</v>
      </c>
      <c r="U247" s="446">
        <v>692</v>
      </c>
      <c r="V247" s="446"/>
    </row>
    <row r="248" spans="1:22" ht="25.5" customHeight="1">
      <c r="A248" s="445">
        <v>46276</v>
      </c>
      <c r="B248" s="446" t="s">
        <v>21</v>
      </c>
      <c r="C248" s="446" t="s">
        <v>109</v>
      </c>
      <c r="D248" s="446">
        <v>3588</v>
      </c>
      <c r="E248" s="446">
        <v>0</v>
      </c>
      <c r="F248" s="446">
        <v>0</v>
      </c>
      <c r="G248" s="446">
        <v>0</v>
      </c>
      <c r="H248" s="446">
        <v>12.5</v>
      </c>
      <c r="I248" s="446">
        <v>1</v>
      </c>
      <c r="J248" s="446">
        <v>1</v>
      </c>
      <c r="K248" s="446">
        <v>0</v>
      </c>
      <c r="L248" s="446">
        <v>1</v>
      </c>
      <c r="M248" s="446">
        <v>1</v>
      </c>
      <c r="N248" s="446">
        <v>0</v>
      </c>
      <c r="O248" s="446">
        <v>2</v>
      </c>
      <c r="P248" s="446">
        <v>1</v>
      </c>
      <c r="Q248" s="446">
        <v>0</v>
      </c>
      <c r="R248" s="446">
        <v>0</v>
      </c>
      <c r="S248" s="446">
        <v>0</v>
      </c>
      <c r="T248" s="447">
        <v>0</v>
      </c>
      <c r="U248" s="446">
        <v>1003</v>
      </c>
      <c r="V248" s="446"/>
    </row>
    <row r="249" spans="1:22" ht="25.5" customHeight="1">
      <c r="A249" s="445">
        <v>46276</v>
      </c>
      <c r="B249" s="446" t="s">
        <v>21</v>
      </c>
      <c r="C249" s="446" t="s">
        <v>103</v>
      </c>
      <c r="D249" s="446">
        <v>0</v>
      </c>
      <c r="E249" s="446">
        <v>0</v>
      </c>
      <c r="F249" s="446">
        <v>0</v>
      </c>
      <c r="G249" s="446">
        <v>0</v>
      </c>
      <c r="H249" s="446">
        <v>0</v>
      </c>
      <c r="I249" s="446">
        <v>0</v>
      </c>
      <c r="J249" s="446">
        <v>0</v>
      </c>
      <c r="K249" s="446">
        <v>0</v>
      </c>
      <c r="L249" s="446">
        <v>0</v>
      </c>
      <c r="M249" s="446">
        <v>0</v>
      </c>
      <c r="N249" s="446">
        <v>0</v>
      </c>
      <c r="O249" s="446">
        <v>0</v>
      </c>
      <c r="P249" s="446">
        <v>0</v>
      </c>
      <c r="Q249" s="446">
        <v>0</v>
      </c>
      <c r="R249" s="446">
        <v>0</v>
      </c>
      <c r="S249" s="446">
        <v>0</v>
      </c>
      <c r="T249" s="447">
        <v>0</v>
      </c>
      <c r="U249" s="446">
        <v>0</v>
      </c>
      <c r="V249" s="446"/>
    </row>
    <row r="250" spans="1:22" ht="25.5" customHeight="1">
      <c r="A250" s="445">
        <v>46276</v>
      </c>
      <c r="B250" s="446" t="s">
        <v>21</v>
      </c>
      <c r="C250" s="446" t="s">
        <v>112</v>
      </c>
      <c r="D250" s="446">
        <v>600</v>
      </c>
      <c r="E250" s="446">
        <v>0</v>
      </c>
      <c r="F250" s="446">
        <v>0</v>
      </c>
      <c r="G250" s="446">
        <v>0</v>
      </c>
      <c r="H250" s="446">
        <v>3.5</v>
      </c>
      <c r="I250" s="446">
        <v>1</v>
      </c>
      <c r="J250" s="446">
        <v>1</v>
      </c>
      <c r="K250" s="446">
        <v>0</v>
      </c>
      <c r="L250" s="446">
        <v>0</v>
      </c>
      <c r="M250" s="446">
        <v>0</v>
      </c>
      <c r="N250" s="446">
        <v>2</v>
      </c>
      <c r="O250" s="446">
        <v>1</v>
      </c>
      <c r="P250" s="446">
        <v>0</v>
      </c>
      <c r="Q250" s="446">
        <v>0</v>
      </c>
      <c r="R250" s="446">
        <v>0</v>
      </c>
      <c r="S250" s="446">
        <v>0</v>
      </c>
      <c r="T250" s="447">
        <v>0</v>
      </c>
      <c r="U250" s="446">
        <v>0</v>
      </c>
      <c r="V250" s="446"/>
    </row>
    <row r="251" spans="1:22" ht="25.5" customHeight="1">
      <c r="A251" s="445">
        <v>46277</v>
      </c>
      <c r="B251" s="446" t="s">
        <v>17</v>
      </c>
      <c r="C251" s="446" t="s">
        <v>96</v>
      </c>
      <c r="D251" s="446">
        <v>0</v>
      </c>
      <c r="E251" s="446">
        <v>0</v>
      </c>
      <c r="F251" s="446">
        <v>0</v>
      </c>
      <c r="G251" s="446">
        <v>0</v>
      </c>
      <c r="H251" s="446">
        <v>0</v>
      </c>
      <c r="I251" s="446">
        <v>0</v>
      </c>
      <c r="J251" s="446">
        <v>0</v>
      </c>
      <c r="K251" s="446">
        <v>0</v>
      </c>
      <c r="L251" s="446">
        <v>0</v>
      </c>
      <c r="M251" s="446">
        <v>0</v>
      </c>
      <c r="N251" s="446">
        <v>0</v>
      </c>
      <c r="O251" s="446">
        <v>0</v>
      </c>
      <c r="P251" s="446">
        <v>0</v>
      </c>
      <c r="Q251" s="446">
        <v>0</v>
      </c>
      <c r="R251" s="446">
        <v>0</v>
      </c>
      <c r="S251" s="446">
        <v>0</v>
      </c>
      <c r="T251" s="447">
        <v>0</v>
      </c>
      <c r="U251" s="446">
        <v>0</v>
      </c>
      <c r="V251" s="446"/>
    </row>
    <row r="252" spans="1:22" ht="25.5" customHeight="1">
      <c r="A252" s="445">
        <v>46277</v>
      </c>
      <c r="B252" s="446" t="s">
        <v>17</v>
      </c>
      <c r="C252" s="446" t="s">
        <v>108</v>
      </c>
      <c r="D252" s="446">
        <v>5200</v>
      </c>
      <c r="E252" s="446">
        <v>0</v>
      </c>
      <c r="F252" s="446">
        <v>0</v>
      </c>
      <c r="G252" s="446">
        <v>0</v>
      </c>
      <c r="H252" s="446">
        <v>13.5</v>
      </c>
      <c r="I252" s="446">
        <v>2</v>
      </c>
      <c r="J252" s="446">
        <v>1</v>
      </c>
      <c r="K252" s="446">
        <v>2</v>
      </c>
      <c r="L252" s="446">
        <v>1</v>
      </c>
      <c r="M252" s="446">
        <v>1</v>
      </c>
      <c r="N252" s="446">
        <v>0</v>
      </c>
      <c r="O252" s="446">
        <v>2</v>
      </c>
      <c r="P252" s="446">
        <v>0</v>
      </c>
      <c r="Q252" s="446">
        <v>0</v>
      </c>
      <c r="R252" s="446">
        <v>0</v>
      </c>
      <c r="S252" s="446">
        <v>0</v>
      </c>
      <c r="T252" s="447">
        <v>0</v>
      </c>
      <c r="U252" s="446">
        <v>530</v>
      </c>
      <c r="V252" s="446"/>
    </row>
    <row r="253" spans="1:22" ht="25.5" customHeight="1">
      <c r="A253" s="445">
        <v>46277</v>
      </c>
      <c r="B253" s="446" t="s">
        <v>17</v>
      </c>
      <c r="C253" s="446" t="s">
        <v>101</v>
      </c>
      <c r="D253" s="446">
        <v>2133</v>
      </c>
      <c r="E253" s="446">
        <v>0</v>
      </c>
      <c r="F253" s="446">
        <v>0</v>
      </c>
      <c r="G253" s="446">
        <v>0</v>
      </c>
      <c r="H253" s="446">
        <v>9</v>
      </c>
      <c r="I253" s="446">
        <v>2</v>
      </c>
      <c r="J253" s="446">
        <v>1</v>
      </c>
      <c r="K253" s="446">
        <v>1</v>
      </c>
      <c r="L253" s="446">
        <v>1</v>
      </c>
      <c r="M253" s="446">
        <v>0</v>
      </c>
      <c r="N253" s="446">
        <v>0</v>
      </c>
      <c r="O253" s="446">
        <v>0</v>
      </c>
      <c r="P253" s="446">
        <v>1.5</v>
      </c>
      <c r="Q253" s="446">
        <v>1</v>
      </c>
      <c r="R253" s="446">
        <v>0</v>
      </c>
      <c r="S253" s="446">
        <v>0</v>
      </c>
      <c r="T253" s="447">
        <v>0</v>
      </c>
      <c r="U253" s="446">
        <v>0</v>
      </c>
      <c r="V253" s="446"/>
    </row>
    <row r="254" spans="1:22" ht="25.5" customHeight="1">
      <c r="A254" s="445">
        <v>46277</v>
      </c>
      <c r="B254" s="446" t="s">
        <v>17</v>
      </c>
      <c r="C254" s="446" t="s">
        <v>106</v>
      </c>
      <c r="D254" s="446">
        <v>6425</v>
      </c>
      <c r="E254" s="446">
        <v>6.5</v>
      </c>
      <c r="F254" s="446">
        <v>1</v>
      </c>
      <c r="G254" s="446">
        <v>6.5</v>
      </c>
      <c r="H254" s="446">
        <v>15.75</v>
      </c>
      <c r="I254" s="446">
        <v>3</v>
      </c>
      <c r="J254" s="446">
        <v>0</v>
      </c>
      <c r="K254" s="446">
        <v>0</v>
      </c>
      <c r="L254" s="446">
        <v>1</v>
      </c>
      <c r="M254" s="446">
        <v>1</v>
      </c>
      <c r="N254" s="446">
        <v>1</v>
      </c>
      <c r="O254" s="446">
        <v>4</v>
      </c>
      <c r="P254" s="446">
        <v>5</v>
      </c>
      <c r="Q254" s="446">
        <v>0</v>
      </c>
      <c r="R254" s="446">
        <v>0</v>
      </c>
      <c r="S254" s="446">
        <v>0</v>
      </c>
      <c r="T254" s="447">
        <v>0</v>
      </c>
      <c r="U254" s="446">
        <v>457.02</v>
      </c>
      <c r="V254" s="446"/>
    </row>
    <row r="255" spans="1:22" ht="25.5" customHeight="1">
      <c r="A255" s="445">
        <v>46277</v>
      </c>
      <c r="B255" s="446" t="s">
        <v>22</v>
      </c>
      <c r="C255" s="446" t="s">
        <v>23</v>
      </c>
      <c r="D255" s="446">
        <v>9841</v>
      </c>
      <c r="E255" s="446">
        <v>3</v>
      </c>
      <c r="F255" s="446">
        <v>0</v>
      </c>
      <c r="G255" s="446">
        <v>3</v>
      </c>
      <c r="H255" s="446">
        <v>30.5</v>
      </c>
      <c r="I255" s="446">
        <v>4</v>
      </c>
      <c r="J255" s="446">
        <v>1</v>
      </c>
      <c r="K255" s="446">
        <v>1</v>
      </c>
      <c r="L255" s="446">
        <v>3</v>
      </c>
      <c r="M255" s="446">
        <v>2</v>
      </c>
      <c r="N255" s="446">
        <v>1</v>
      </c>
      <c r="O255" s="446">
        <v>3</v>
      </c>
      <c r="P255" s="446">
        <v>0</v>
      </c>
      <c r="Q255" s="446">
        <v>0</v>
      </c>
      <c r="R255" s="446">
        <v>0</v>
      </c>
      <c r="S255" s="446">
        <v>0</v>
      </c>
      <c r="T255" s="447">
        <v>0</v>
      </c>
      <c r="U255" s="446">
        <v>839</v>
      </c>
      <c r="V255" s="446"/>
    </row>
    <row r="256" spans="1:22" ht="25.5" customHeight="1">
      <c r="A256" s="445">
        <v>46277</v>
      </c>
      <c r="B256" s="446" t="s">
        <v>18</v>
      </c>
      <c r="C256" s="446" t="s">
        <v>97</v>
      </c>
      <c r="D256" s="446">
        <v>3890</v>
      </c>
      <c r="E256" s="446">
        <v>11.5</v>
      </c>
      <c r="F256" s="446">
        <v>1</v>
      </c>
      <c r="G256" s="446">
        <v>11.5</v>
      </c>
      <c r="H256" s="446">
        <v>6</v>
      </c>
      <c r="I256" s="446">
        <v>1</v>
      </c>
      <c r="J256" s="446">
        <v>0</v>
      </c>
      <c r="K256" s="446">
        <v>1</v>
      </c>
      <c r="L256" s="446">
        <v>0</v>
      </c>
      <c r="M256" s="446">
        <v>0</v>
      </c>
      <c r="N256" s="446">
        <v>1</v>
      </c>
      <c r="O256" s="446">
        <v>2</v>
      </c>
      <c r="P256" s="446">
        <v>0</v>
      </c>
      <c r="Q256" s="446">
        <v>0</v>
      </c>
      <c r="R256" s="446">
        <v>0</v>
      </c>
      <c r="S256" s="446">
        <v>0</v>
      </c>
      <c r="T256" s="447">
        <v>0</v>
      </c>
      <c r="U256" s="446">
        <v>0</v>
      </c>
      <c r="V256" s="446"/>
    </row>
    <row r="257" spans="1:22" ht="25.5" customHeight="1">
      <c r="A257" s="445">
        <v>46277</v>
      </c>
      <c r="B257" s="446" t="s">
        <v>18</v>
      </c>
      <c r="C257" s="446" t="s">
        <v>98</v>
      </c>
      <c r="D257" s="446">
        <v>7168.6</v>
      </c>
      <c r="E257" s="446">
        <v>12.5</v>
      </c>
      <c r="F257" s="446">
        <v>1</v>
      </c>
      <c r="G257" s="446">
        <v>12.5</v>
      </c>
      <c r="H257" s="446">
        <v>11.5</v>
      </c>
      <c r="I257" s="446">
        <v>1</v>
      </c>
      <c r="J257" s="446">
        <v>1</v>
      </c>
      <c r="K257" s="446">
        <v>1</v>
      </c>
      <c r="L257" s="446">
        <v>1</v>
      </c>
      <c r="M257" s="446">
        <v>1</v>
      </c>
      <c r="N257" s="446">
        <v>2</v>
      </c>
      <c r="O257" s="446">
        <v>2</v>
      </c>
      <c r="P257" s="446">
        <v>1</v>
      </c>
      <c r="Q257" s="446">
        <v>1</v>
      </c>
      <c r="R257" s="446">
        <v>0</v>
      </c>
      <c r="S257" s="446">
        <v>0</v>
      </c>
      <c r="T257" s="447">
        <v>699</v>
      </c>
      <c r="U257" s="446">
        <v>2977</v>
      </c>
      <c r="V257" s="446"/>
    </row>
    <row r="258" spans="1:22" ht="25.5" customHeight="1">
      <c r="A258" s="445">
        <v>46277</v>
      </c>
      <c r="B258" s="446" t="s">
        <v>18</v>
      </c>
      <c r="C258" s="446" t="s">
        <v>110</v>
      </c>
      <c r="D258" s="446">
        <v>200</v>
      </c>
      <c r="E258" s="446">
        <v>0</v>
      </c>
      <c r="F258" s="446">
        <v>0</v>
      </c>
      <c r="G258" s="446">
        <v>0</v>
      </c>
      <c r="H258" s="446">
        <v>2</v>
      </c>
      <c r="I258" s="446">
        <v>1</v>
      </c>
      <c r="J258" s="446">
        <v>0</v>
      </c>
      <c r="K258" s="446">
        <v>0</v>
      </c>
      <c r="L258" s="446">
        <v>0</v>
      </c>
      <c r="M258" s="446">
        <v>0</v>
      </c>
      <c r="N258" s="446">
        <v>0</v>
      </c>
      <c r="O258" s="446">
        <v>0</v>
      </c>
      <c r="P258" s="446">
        <v>0</v>
      </c>
      <c r="Q258" s="446">
        <v>0</v>
      </c>
      <c r="R258" s="446">
        <v>0</v>
      </c>
      <c r="S258" s="446">
        <v>0</v>
      </c>
      <c r="T258" s="447">
        <v>0</v>
      </c>
      <c r="U258" s="446">
        <v>0</v>
      </c>
      <c r="V258" s="446"/>
    </row>
    <row r="259" spans="1:22" ht="25.5" customHeight="1">
      <c r="A259" s="445">
        <v>46277</v>
      </c>
      <c r="B259" s="446" t="s">
        <v>19</v>
      </c>
      <c r="C259" s="446" t="s">
        <v>99</v>
      </c>
      <c r="D259" s="446">
        <v>6050</v>
      </c>
      <c r="E259" s="446">
        <v>0</v>
      </c>
      <c r="F259" s="446">
        <v>0</v>
      </c>
      <c r="G259" s="446">
        <v>0</v>
      </c>
      <c r="H259" s="446">
        <v>29</v>
      </c>
      <c r="I259" s="446">
        <v>3</v>
      </c>
      <c r="J259" s="446">
        <v>2</v>
      </c>
      <c r="K259" s="446">
        <v>0</v>
      </c>
      <c r="L259" s="446">
        <v>2</v>
      </c>
      <c r="M259" s="446">
        <v>1</v>
      </c>
      <c r="N259" s="446">
        <v>1</v>
      </c>
      <c r="O259" s="446">
        <v>3</v>
      </c>
      <c r="P259" s="446">
        <v>1</v>
      </c>
      <c r="Q259" s="446">
        <v>0</v>
      </c>
      <c r="R259" s="446">
        <v>0</v>
      </c>
      <c r="S259" s="446">
        <v>0</v>
      </c>
      <c r="T259" s="447">
        <v>0</v>
      </c>
      <c r="U259" s="446">
        <v>0</v>
      </c>
      <c r="V259" s="446"/>
    </row>
    <row r="260" spans="1:22" ht="25.5" customHeight="1">
      <c r="A260" s="445">
        <v>46277</v>
      </c>
      <c r="B260" s="446" t="s">
        <v>19</v>
      </c>
      <c r="C260" s="446" t="s">
        <v>88</v>
      </c>
      <c r="D260" s="446">
        <v>10923.3</v>
      </c>
      <c r="E260" s="446">
        <v>0</v>
      </c>
      <c r="F260" s="446">
        <v>0</v>
      </c>
      <c r="G260" s="446">
        <v>0</v>
      </c>
      <c r="H260" s="446">
        <v>11.25</v>
      </c>
      <c r="I260" s="446">
        <v>3</v>
      </c>
      <c r="J260" s="446">
        <v>0</v>
      </c>
      <c r="K260" s="446">
        <v>1</v>
      </c>
      <c r="L260" s="446">
        <v>1</v>
      </c>
      <c r="M260" s="446">
        <v>0</v>
      </c>
      <c r="N260" s="446">
        <v>1</v>
      </c>
      <c r="O260" s="446">
        <v>4</v>
      </c>
      <c r="P260" s="446">
        <v>3</v>
      </c>
      <c r="Q260" s="446">
        <v>0</v>
      </c>
      <c r="R260" s="446">
        <v>0</v>
      </c>
      <c r="S260" s="446">
        <v>0</v>
      </c>
      <c r="T260" s="447">
        <v>0</v>
      </c>
      <c r="U260" s="446">
        <v>4506</v>
      </c>
      <c r="V260" s="446"/>
    </row>
    <row r="261" spans="1:22" ht="25.5" customHeight="1">
      <c r="A261" s="445">
        <v>46277</v>
      </c>
      <c r="B261" s="446" t="s">
        <v>19</v>
      </c>
      <c r="C261" s="446" t="s">
        <v>107</v>
      </c>
      <c r="D261" s="446">
        <v>0</v>
      </c>
      <c r="E261" s="446">
        <v>0</v>
      </c>
      <c r="F261" s="446">
        <v>0</v>
      </c>
      <c r="G261" s="446">
        <v>0</v>
      </c>
      <c r="H261" s="446">
        <v>0</v>
      </c>
      <c r="I261" s="446">
        <v>0</v>
      </c>
      <c r="J261" s="446">
        <v>0</v>
      </c>
      <c r="K261" s="446">
        <v>0</v>
      </c>
      <c r="L261" s="446">
        <v>0</v>
      </c>
      <c r="M261" s="446">
        <v>0</v>
      </c>
      <c r="N261" s="446">
        <v>0</v>
      </c>
      <c r="O261" s="446">
        <v>0</v>
      </c>
      <c r="P261" s="446">
        <v>0</v>
      </c>
      <c r="Q261" s="446">
        <v>0</v>
      </c>
      <c r="R261" s="446">
        <v>0</v>
      </c>
      <c r="S261" s="446">
        <v>0</v>
      </c>
      <c r="T261" s="447">
        <v>0</v>
      </c>
      <c r="U261" s="446">
        <v>0</v>
      </c>
      <c r="V261" s="446"/>
    </row>
    <row r="262" spans="1:22" ht="25.5" customHeight="1">
      <c r="A262" s="445">
        <v>46277</v>
      </c>
      <c r="B262" s="446" t="s">
        <v>20</v>
      </c>
      <c r="C262" s="446" t="s">
        <v>93</v>
      </c>
      <c r="D262" s="446">
        <v>9146</v>
      </c>
      <c r="E262" s="446">
        <v>6.5</v>
      </c>
      <c r="F262" s="446">
        <v>1</v>
      </c>
      <c r="G262" s="446">
        <v>6.5</v>
      </c>
      <c r="H262" s="446">
        <v>14.5</v>
      </c>
      <c r="I262" s="446">
        <v>1</v>
      </c>
      <c r="J262" s="446">
        <v>1</v>
      </c>
      <c r="K262" s="446">
        <v>1</v>
      </c>
      <c r="L262" s="446">
        <v>1</v>
      </c>
      <c r="M262" s="446">
        <v>1</v>
      </c>
      <c r="N262" s="446">
        <v>1</v>
      </c>
      <c r="O262" s="446">
        <v>2</v>
      </c>
      <c r="P262" s="446">
        <v>1</v>
      </c>
      <c r="Q262" s="446">
        <v>0</v>
      </c>
      <c r="R262" s="446">
        <v>0</v>
      </c>
      <c r="S262" s="446">
        <v>0</v>
      </c>
      <c r="T262" s="447">
        <v>0</v>
      </c>
      <c r="U262" s="446">
        <v>1063.8</v>
      </c>
      <c r="V262" s="446"/>
    </row>
    <row r="263" spans="1:22" ht="25.5" customHeight="1">
      <c r="A263" s="445">
        <v>46277</v>
      </c>
      <c r="B263" s="446" t="s">
        <v>20</v>
      </c>
      <c r="C263" s="446" t="s">
        <v>105</v>
      </c>
      <c r="D263" s="446">
        <v>898</v>
      </c>
      <c r="E263" s="446">
        <v>0</v>
      </c>
      <c r="F263" s="446">
        <v>0</v>
      </c>
      <c r="G263" s="446">
        <v>0</v>
      </c>
      <c r="H263" s="446">
        <v>2.5</v>
      </c>
      <c r="I263" s="446">
        <v>1</v>
      </c>
      <c r="J263" s="446">
        <v>0</v>
      </c>
      <c r="K263" s="446">
        <v>0</v>
      </c>
      <c r="L263" s="446">
        <v>0</v>
      </c>
      <c r="M263" s="446">
        <v>0</v>
      </c>
      <c r="N263" s="446">
        <v>0</v>
      </c>
      <c r="O263" s="446">
        <v>0</v>
      </c>
      <c r="P263" s="446">
        <v>0</v>
      </c>
      <c r="Q263" s="446">
        <v>0</v>
      </c>
      <c r="R263" s="446">
        <v>0</v>
      </c>
      <c r="S263" s="446">
        <v>0</v>
      </c>
      <c r="T263" s="447">
        <v>0</v>
      </c>
      <c r="U263" s="446">
        <v>192</v>
      </c>
      <c r="V263" s="446"/>
    </row>
    <row r="264" spans="1:22" ht="25.5" customHeight="1">
      <c r="A264" s="445">
        <v>46277</v>
      </c>
      <c r="B264" s="446" t="s">
        <v>20</v>
      </c>
      <c r="C264" s="446" t="s">
        <v>102</v>
      </c>
      <c r="D264" s="446">
        <v>0</v>
      </c>
      <c r="E264" s="446">
        <v>0</v>
      </c>
      <c r="F264" s="446">
        <v>0</v>
      </c>
      <c r="G264" s="446">
        <v>0</v>
      </c>
      <c r="H264" s="446">
        <v>0</v>
      </c>
      <c r="I264" s="446">
        <v>0</v>
      </c>
      <c r="J264" s="446">
        <v>0</v>
      </c>
      <c r="K264" s="446">
        <v>0</v>
      </c>
      <c r="L264" s="446">
        <v>0</v>
      </c>
      <c r="M264" s="446">
        <v>0</v>
      </c>
      <c r="N264" s="446">
        <v>0</v>
      </c>
      <c r="O264" s="446">
        <v>0</v>
      </c>
      <c r="P264" s="446">
        <v>0</v>
      </c>
      <c r="Q264" s="446">
        <v>0</v>
      </c>
      <c r="R264" s="446">
        <v>0</v>
      </c>
      <c r="S264" s="446">
        <v>0</v>
      </c>
      <c r="T264" s="447">
        <v>0</v>
      </c>
      <c r="U264" s="446">
        <v>0</v>
      </c>
      <c r="V264" s="446"/>
    </row>
    <row r="265" spans="1:22" ht="25.5" customHeight="1">
      <c r="A265" s="445">
        <v>46277</v>
      </c>
      <c r="B265" s="446" t="s">
        <v>20</v>
      </c>
      <c r="C265" s="446" t="s">
        <v>111</v>
      </c>
      <c r="D265" s="446">
        <v>700</v>
      </c>
      <c r="E265" s="446">
        <v>0</v>
      </c>
      <c r="F265" s="446">
        <v>0</v>
      </c>
      <c r="G265" s="446">
        <v>0</v>
      </c>
      <c r="H265" s="446">
        <v>14.5</v>
      </c>
      <c r="I265" s="446">
        <v>2</v>
      </c>
      <c r="J265" s="446">
        <v>1</v>
      </c>
      <c r="K265" s="446">
        <v>1</v>
      </c>
      <c r="L265" s="446">
        <v>1</v>
      </c>
      <c r="M265" s="446">
        <v>1</v>
      </c>
      <c r="N265" s="446">
        <v>0</v>
      </c>
      <c r="O265" s="446">
        <v>1</v>
      </c>
      <c r="P265" s="446">
        <v>0</v>
      </c>
      <c r="Q265" s="446">
        <v>0</v>
      </c>
      <c r="R265" s="446">
        <v>0</v>
      </c>
      <c r="S265" s="446">
        <v>0</v>
      </c>
      <c r="T265" s="447">
        <v>0</v>
      </c>
      <c r="U265" s="446">
        <v>0</v>
      </c>
      <c r="V265" s="446"/>
    </row>
    <row r="266" spans="1:22" ht="25.5" customHeight="1">
      <c r="A266" s="445">
        <v>46277</v>
      </c>
      <c r="B266" s="446" t="s">
        <v>21</v>
      </c>
      <c r="C266" s="446" t="s">
        <v>90</v>
      </c>
      <c r="D266" s="446">
        <v>10347</v>
      </c>
      <c r="E266" s="446">
        <v>0</v>
      </c>
      <c r="F266" s="446">
        <v>0</v>
      </c>
      <c r="G266" s="446">
        <v>0</v>
      </c>
      <c r="H266" s="446">
        <v>23</v>
      </c>
      <c r="I266" s="446">
        <v>4</v>
      </c>
      <c r="J266" s="446">
        <v>2</v>
      </c>
      <c r="K266" s="446">
        <v>1</v>
      </c>
      <c r="L266" s="446">
        <v>1</v>
      </c>
      <c r="M266" s="446">
        <v>1</v>
      </c>
      <c r="N266" s="446">
        <v>0</v>
      </c>
      <c r="O266" s="446">
        <v>2</v>
      </c>
      <c r="P266" s="446">
        <v>1</v>
      </c>
      <c r="Q266" s="446">
        <v>0</v>
      </c>
      <c r="R266" s="446">
        <v>0</v>
      </c>
      <c r="S266" s="446">
        <v>0</v>
      </c>
      <c r="T266" s="447">
        <v>0</v>
      </c>
      <c r="U266" s="446">
        <v>50</v>
      </c>
      <c r="V266" s="446"/>
    </row>
    <row r="267" spans="1:22" ht="25.5" customHeight="1">
      <c r="A267" s="445">
        <v>46277</v>
      </c>
      <c r="B267" s="446" t="s">
        <v>21</v>
      </c>
      <c r="C267" s="446" t="s">
        <v>109</v>
      </c>
      <c r="D267" s="446">
        <v>0</v>
      </c>
      <c r="E267" s="446">
        <v>0</v>
      </c>
      <c r="F267" s="446">
        <v>0</v>
      </c>
      <c r="G267" s="446">
        <v>0</v>
      </c>
      <c r="H267" s="446">
        <v>0</v>
      </c>
      <c r="I267" s="446">
        <v>0</v>
      </c>
      <c r="J267" s="446">
        <v>0</v>
      </c>
      <c r="K267" s="446">
        <v>0</v>
      </c>
      <c r="L267" s="446">
        <v>0</v>
      </c>
      <c r="M267" s="446">
        <v>0</v>
      </c>
      <c r="N267" s="446">
        <v>0</v>
      </c>
      <c r="O267" s="446">
        <v>0</v>
      </c>
      <c r="P267" s="446">
        <v>0</v>
      </c>
      <c r="Q267" s="446">
        <v>0</v>
      </c>
      <c r="R267" s="446">
        <v>0</v>
      </c>
      <c r="S267" s="446">
        <v>0</v>
      </c>
      <c r="T267" s="447">
        <v>0</v>
      </c>
      <c r="U267" s="446">
        <v>0</v>
      </c>
      <c r="V267" s="446"/>
    </row>
    <row r="268" spans="1:22" ht="25.5" customHeight="1">
      <c r="A268" s="445">
        <v>46277</v>
      </c>
      <c r="B268" s="446" t="s">
        <v>21</v>
      </c>
      <c r="C268" s="446" t="s">
        <v>103</v>
      </c>
      <c r="D268" s="446">
        <v>3880</v>
      </c>
      <c r="E268" s="446">
        <v>0</v>
      </c>
      <c r="F268" s="446">
        <v>0</v>
      </c>
      <c r="G268" s="446">
        <v>0</v>
      </c>
      <c r="H268" s="446">
        <v>5</v>
      </c>
      <c r="I268" s="446">
        <v>1</v>
      </c>
      <c r="J268" s="446">
        <v>1</v>
      </c>
      <c r="K268" s="446">
        <v>0</v>
      </c>
      <c r="L268" s="446">
        <v>0</v>
      </c>
      <c r="M268" s="446">
        <v>0</v>
      </c>
      <c r="N268" s="446">
        <v>1</v>
      </c>
      <c r="O268" s="446">
        <v>2</v>
      </c>
      <c r="P268" s="446">
        <v>0</v>
      </c>
      <c r="Q268" s="446">
        <v>0</v>
      </c>
      <c r="R268" s="446">
        <v>0</v>
      </c>
      <c r="S268" s="446">
        <v>0</v>
      </c>
      <c r="T268" s="447">
        <v>0</v>
      </c>
      <c r="U268" s="446">
        <v>50</v>
      </c>
      <c r="V268" s="446"/>
    </row>
    <row r="269" spans="1:22" ht="25.5" customHeight="1">
      <c r="A269" s="445">
        <v>46277</v>
      </c>
      <c r="B269" s="446" t="s">
        <v>21</v>
      </c>
      <c r="C269" s="446" t="s">
        <v>112</v>
      </c>
      <c r="D269" s="446">
        <v>3164</v>
      </c>
      <c r="E269" s="446">
        <v>3.5</v>
      </c>
      <c r="F269" s="446">
        <v>0</v>
      </c>
      <c r="G269" s="446">
        <v>3.5</v>
      </c>
      <c r="H269" s="446">
        <v>9.5</v>
      </c>
      <c r="I269" s="446">
        <v>2</v>
      </c>
      <c r="J269" s="446">
        <v>2</v>
      </c>
      <c r="K269" s="446">
        <v>0</v>
      </c>
      <c r="L269" s="446">
        <v>0</v>
      </c>
      <c r="M269" s="446">
        <v>0</v>
      </c>
      <c r="N269" s="446">
        <v>2</v>
      </c>
      <c r="O269" s="446">
        <v>1</v>
      </c>
      <c r="P269" s="446">
        <v>0</v>
      </c>
      <c r="Q269" s="446">
        <v>0</v>
      </c>
      <c r="R269" s="446">
        <v>0</v>
      </c>
      <c r="S269" s="446">
        <v>0</v>
      </c>
      <c r="T269" s="447">
        <v>0</v>
      </c>
      <c r="U269" s="446">
        <v>1655</v>
      </c>
      <c r="V269" s="446"/>
    </row>
    <row r="270" spans="1:22" ht="25.5" customHeight="1">
      <c r="A270" s="445">
        <v>46278</v>
      </c>
      <c r="B270" s="446" t="s">
        <v>17</v>
      </c>
      <c r="C270" s="446" t="s">
        <v>96</v>
      </c>
      <c r="D270" s="446">
        <v>0</v>
      </c>
      <c r="E270" s="446">
        <v>0</v>
      </c>
      <c r="F270" s="446">
        <v>0</v>
      </c>
      <c r="G270" s="446">
        <v>0</v>
      </c>
      <c r="H270" s="446">
        <v>0</v>
      </c>
      <c r="I270" s="446">
        <v>0</v>
      </c>
      <c r="J270" s="446">
        <v>0</v>
      </c>
      <c r="K270" s="446">
        <v>0</v>
      </c>
      <c r="L270" s="446">
        <v>0</v>
      </c>
      <c r="M270" s="446">
        <v>0</v>
      </c>
      <c r="N270" s="446">
        <v>0</v>
      </c>
      <c r="O270" s="446">
        <v>0</v>
      </c>
      <c r="P270" s="446">
        <v>0</v>
      </c>
      <c r="Q270" s="446">
        <v>0</v>
      </c>
      <c r="R270" s="446">
        <v>0</v>
      </c>
      <c r="S270" s="446">
        <v>0</v>
      </c>
      <c r="T270" s="447">
        <v>0</v>
      </c>
      <c r="U270" s="446">
        <v>0</v>
      </c>
      <c r="V270" s="446"/>
    </row>
    <row r="271" spans="1:22" ht="25.5" customHeight="1">
      <c r="A271" s="445">
        <v>46278</v>
      </c>
      <c r="B271" s="446" t="s">
        <v>17</v>
      </c>
      <c r="C271" s="446" t="s">
        <v>108</v>
      </c>
      <c r="D271" s="446">
        <v>850</v>
      </c>
      <c r="E271" s="446">
        <v>0</v>
      </c>
      <c r="F271" s="446">
        <v>0</v>
      </c>
      <c r="G271" s="446">
        <v>0</v>
      </c>
      <c r="H271" s="446">
        <v>6.5</v>
      </c>
      <c r="I271" s="446">
        <v>2</v>
      </c>
      <c r="J271" s="446">
        <v>0</v>
      </c>
      <c r="K271" s="446">
        <v>1</v>
      </c>
      <c r="L271" s="446">
        <v>0</v>
      </c>
      <c r="M271" s="446">
        <v>0</v>
      </c>
      <c r="N271" s="446">
        <v>0</v>
      </c>
      <c r="O271" s="446">
        <v>0</v>
      </c>
      <c r="P271" s="446">
        <v>0</v>
      </c>
      <c r="Q271" s="446">
        <v>0</v>
      </c>
      <c r="R271" s="446">
        <v>0</v>
      </c>
      <c r="S271" s="446">
        <v>0</v>
      </c>
      <c r="T271" s="447">
        <v>0</v>
      </c>
      <c r="U271" s="446">
        <v>0</v>
      </c>
      <c r="V271" s="446"/>
    </row>
    <row r="272" spans="1:22" ht="25.5" customHeight="1">
      <c r="A272" s="445">
        <v>46278</v>
      </c>
      <c r="B272" s="446" t="s">
        <v>17</v>
      </c>
      <c r="C272" s="446" t="s">
        <v>101</v>
      </c>
      <c r="D272" s="446">
        <v>0</v>
      </c>
      <c r="E272" s="446">
        <v>0</v>
      </c>
      <c r="F272" s="446">
        <v>0</v>
      </c>
      <c r="G272" s="446">
        <v>0</v>
      </c>
      <c r="H272" s="446">
        <v>0</v>
      </c>
      <c r="I272" s="446">
        <v>0</v>
      </c>
      <c r="J272" s="446">
        <v>0</v>
      </c>
      <c r="K272" s="446">
        <v>0</v>
      </c>
      <c r="L272" s="446">
        <v>0</v>
      </c>
      <c r="M272" s="446">
        <v>0</v>
      </c>
      <c r="N272" s="446">
        <v>0</v>
      </c>
      <c r="O272" s="446">
        <v>0</v>
      </c>
      <c r="P272" s="446">
        <v>0</v>
      </c>
      <c r="Q272" s="446">
        <v>0</v>
      </c>
      <c r="R272" s="446">
        <v>0</v>
      </c>
      <c r="S272" s="446">
        <v>0</v>
      </c>
      <c r="T272" s="447">
        <v>0</v>
      </c>
      <c r="U272" s="446">
        <v>0</v>
      </c>
      <c r="V272" s="446"/>
    </row>
    <row r="273" spans="1:22" ht="25.5" customHeight="1">
      <c r="A273" s="445">
        <v>46278</v>
      </c>
      <c r="B273" s="446" t="s">
        <v>17</v>
      </c>
      <c r="C273" s="446" t="s">
        <v>106</v>
      </c>
      <c r="D273" s="446">
        <v>7453</v>
      </c>
      <c r="E273" s="446">
        <v>0</v>
      </c>
      <c r="F273" s="446">
        <v>0</v>
      </c>
      <c r="G273" s="446">
        <v>0</v>
      </c>
      <c r="H273" s="446">
        <v>11</v>
      </c>
      <c r="I273" s="446">
        <v>3</v>
      </c>
      <c r="J273" s="446">
        <v>0</v>
      </c>
      <c r="K273" s="446">
        <v>3</v>
      </c>
      <c r="L273" s="446">
        <v>0</v>
      </c>
      <c r="M273" s="446">
        <v>0</v>
      </c>
      <c r="N273" s="446">
        <v>0</v>
      </c>
      <c r="O273" s="446">
        <v>3</v>
      </c>
      <c r="P273" s="446">
        <v>1</v>
      </c>
      <c r="Q273" s="446">
        <v>0</v>
      </c>
      <c r="R273" s="446">
        <v>0</v>
      </c>
      <c r="S273" s="446">
        <v>0</v>
      </c>
      <c r="T273" s="447">
        <v>101</v>
      </c>
      <c r="U273" s="446">
        <v>0</v>
      </c>
      <c r="V273" s="446"/>
    </row>
    <row r="274" spans="1:22" ht="25.5" customHeight="1">
      <c r="A274" s="445">
        <v>46278</v>
      </c>
      <c r="B274" s="446" t="s">
        <v>22</v>
      </c>
      <c r="C274" s="446" t="s">
        <v>23</v>
      </c>
      <c r="D274" s="446">
        <v>750</v>
      </c>
      <c r="E274" s="446">
        <v>0</v>
      </c>
      <c r="F274" s="446">
        <v>0</v>
      </c>
      <c r="G274" s="446">
        <v>0</v>
      </c>
      <c r="H274" s="446">
        <v>9.5</v>
      </c>
      <c r="I274" s="446">
        <v>2</v>
      </c>
      <c r="J274" s="446">
        <v>1</v>
      </c>
      <c r="K274" s="446">
        <v>2</v>
      </c>
      <c r="L274" s="446">
        <v>1</v>
      </c>
      <c r="M274" s="446">
        <v>0</v>
      </c>
      <c r="N274" s="446">
        <v>0</v>
      </c>
      <c r="O274" s="446">
        <v>0</v>
      </c>
      <c r="P274" s="446">
        <v>0</v>
      </c>
      <c r="Q274" s="446">
        <v>1.25</v>
      </c>
      <c r="R274" s="446">
        <v>0</v>
      </c>
      <c r="S274" s="446">
        <v>0</v>
      </c>
      <c r="T274" s="447">
        <v>0</v>
      </c>
      <c r="U274" s="446">
        <v>0</v>
      </c>
      <c r="V274" s="446"/>
    </row>
    <row r="275" spans="1:22" ht="25.5" customHeight="1">
      <c r="A275" s="445">
        <v>46278</v>
      </c>
      <c r="B275" s="446" t="s">
        <v>18</v>
      </c>
      <c r="C275" s="446" t="s">
        <v>97</v>
      </c>
      <c r="D275" s="446">
        <v>2275</v>
      </c>
      <c r="E275" s="446">
        <v>0</v>
      </c>
      <c r="F275" s="446">
        <v>0</v>
      </c>
      <c r="G275" s="446">
        <v>0</v>
      </c>
      <c r="H275" s="446">
        <v>16.8</v>
      </c>
      <c r="I275" s="446">
        <v>3</v>
      </c>
      <c r="J275" s="446">
        <v>2</v>
      </c>
      <c r="K275" s="446">
        <v>0</v>
      </c>
      <c r="L275" s="446">
        <v>1</v>
      </c>
      <c r="M275" s="446">
        <v>1</v>
      </c>
      <c r="N275" s="446">
        <v>0</v>
      </c>
      <c r="O275" s="446">
        <v>1</v>
      </c>
      <c r="P275" s="446">
        <v>0</v>
      </c>
      <c r="Q275" s="446">
        <v>0</v>
      </c>
      <c r="R275" s="446">
        <v>0</v>
      </c>
      <c r="S275" s="446">
        <v>0</v>
      </c>
      <c r="T275" s="447">
        <v>0</v>
      </c>
      <c r="U275" s="446">
        <v>245</v>
      </c>
      <c r="V275" s="446"/>
    </row>
    <row r="276" spans="1:22" ht="25.5" customHeight="1">
      <c r="A276" s="445">
        <v>46278</v>
      </c>
      <c r="B276" s="446" t="s">
        <v>18</v>
      </c>
      <c r="C276" s="446" t="s">
        <v>98</v>
      </c>
      <c r="D276" s="446">
        <v>7716</v>
      </c>
      <c r="E276" s="446">
        <v>0</v>
      </c>
      <c r="F276" s="446">
        <v>0</v>
      </c>
      <c r="G276" s="446">
        <v>0</v>
      </c>
      <c r="H276" s="446">
        <v>13.5</v>
      </c>
      <c r="I276" s="446">
        <v>2</v>
      </c>
      <c r="J276" s="446">
        <v>2</v>
      </c>
      <c r="K276" s="446">
        <v>1</v>
      </c>
      <c r="L276" s="446">
        <v>1</v>
      </c>
      <c r="M276" s="446">
        <v>0</v>
      </c>
      <c r="N276" s="446">
        <v>0</v>
      </c>
      <c r="O276" s="446">
        <v>2</v>
      </c>
      <c r="P276" s="446">
        <v>2.5</v>
      </c>
      <c r="Q276" s="446">
        <v>0</v>
      </c>
      <c r="R276" s="446">
        <v>0</v>
      </c>
      <c r="S276" s="446">
        <v>0</v>
      </c>
      <c r="T276" s="447">
        <v>0</v>
      </c>
      <c r="U276" s="446">
        <v>2114</v>
      </c>
      <c r="V276" s="446"/>
    </row>
    <row r="277" spans="1:22" ht="25.5" customHeight="1">
      <c r="A277" s="445">
        <v>46278</v>
      </c>
      <c r="B277" s="446" t="s">
        <v>18</v>
      </c>
      <c r="C277" s="446" t="s">
        <v>110</v>
      </c>
      <c r="D277" s="446">
        <v>0</v>
      </c>
      <c r="E277" s="446">
        <v>0</v>
      </c>
      <c r="F277" s="446">
        <v>0</v>
      </c>
      <c r="G277" s="446">
        <v>0</v>
      </c>
      <c r="H277" s="446">
        <v>0</v>
      </c>
      <c r="I277" s="446">
        <v>0</v>
      </c>
      <c r="J277" s="446">
        <v>0</v>
      </c>
      <c r="K277" s="446">
        <v>0</v>
      </c>
      <c r="L277" s="446">
        <v>0</v>
      </c>
      <c r="M277" s="446">
        <v>0</v>
      </c>
      <c r="N277" s="446">
        <v>0</v>
      </c>
      <c r="O277" s="446">
        <v>0</v>
      </c>
      <c r="P277" s="446">
        <v>0</v>
      </c>
      <c r="Q277" s="446">
        <v>0</v>
      </c>
      <c r="R277" s="446">
        <v>0</v>
      </c>
      <c r="S277" s="446">
        <v>0</v>
      </c>
      <c r="T277" s="447">
        <v>0</v>
      </c>
      <c r="U277" s="446">
        <v>0</v>
      </c>
      <c r="V277" s="446"/>
    </row>
    <row r="278" spans="1:22" ht="25.5" customHeight="1">
      <c r="A278" s="445">
        <v>46278</v>
      </c>
      <c r="B278" s="446" t="s">
        <v>19</v>
      </c>
      <c r="C278" s="446" t="s">
        <v>99</v>
      </c>
      <c r="D278" s="446">
        <v>0</v>
      </c>
      <c r="E278" s="446">
        <v>0</v>
      </c>
      <c r="F278" s="446">
        <v>0</v>
      </c>
      <c r="G278" s="446">
        <v>0</v>
      </c>
      <c r="H278" s="446">
        <v>0</v>
      </c>
      <c r="I278" s="446">
        <v>0</v>
      </c>
      <c r="J278" s="446">
        <v>0</v>
      </c>
      <c r="K278" s="446">
        <v>0</v>
      </c>
      <c r="L278" s="446">
        <v>0</v>
      </c>
      <c r="M278" s="446">
        <v>0</v>
      </c>
      <c r="N278" s="446">
        <v>0</v>
      </c>
      <c r="O278" s="446">
        <v>0</v>
      </c>
      <c r="P278" s="446">
        <v>0</v>
      </c>
      <c r="Q278" s="446">
        <v>0</v>
      </c>
      <c r="R278" s="446">
        <v>0</v>
      </c>
      <c r="S278" s="446">
        <v>0</v>
      </c>
      <c r="T278" s="447">
        <v>0</v>
      </c>
      <c r="U278" s="446">
        <v>0</v>
      </c>
      <c r="V278" s="446"/>
    </row>
    <row r="279" spans="1:22" ht="25.5" customHeight="1">
      <c r="A279" s="445">
        <v>46278</v>
      </c>
      <c r="B279" s="446" t="s">
        <v>19</v>
      </c>
      <c r="C279" s="446" t="s">
        <v>88</v>
      </c>
      <c r="D279" s="446">
        <v>8022</v>
      </c>
      <c r="E279" s="446">
        <v>0</v>
      </c>
      <c r="F279" s="446">
        <v>0</v>
      </c>
      <c r="G279" s="446">
        <v>0</v>
      </c>
      <c r="H279" s="446">
        <v>24.5</v>
      </c>
      <c r="I279" s="446">
        <v>4</v>
      </c>
      <c r="J279" s="446">
        <v>1</v>
      </c>
      <c r="K279" s="446">
        <v>2</v>
      </c>
      <c r="L279" s="446">
        <v>2</v>
      </c>
      <c r="M279" s="446">
        <v>1</v>
      </c>
      <c r="N279" s="446">
        <v>1</v>
      </c>
      <c r="O279" s="446">
        <v>4</v>
      </c>
      <c r="P279" s="446">
        <v>3</v>
      </c>
      <c r="Q279" s="446">
        <v>0</v>
      </c>
      <c r="R279" s="446">
        <v>0</v>
      </c>
      <c r="S279" s="446">
        <v>0</v>
      </c>
      <c r="T279" s="447">
        <v>0</v>
      </c>
      <c r="U279" s="446">
        <v>1468</v>
      </c>
      <c r="V279" s="446"/>
    </row>
    <row r="280" spans="1:22" ht="25.5" customHeight="1">
      <c r="A280" s="445">
        <v>46278</v>
      </c>
      <c r="B280" s="446" t="s">
        <v>19</v>
      </c>
      <c r="C280" s="446" t="s">
        <v>107</v>
      </c>
      <c r="D280" s="446">
        <v>5498</v>
      </c>
      <c r="E280" s="446">
        <v>3</v>
      </c>
      <c r="F280" s="446">
        <v>0</v>
      </c>
      <c r="G280" s="446">
        <v>3</v>
      </c>
      <c r="H280" s="446">
        <v>23</v>
      </c>
      <c r="I280" s="446">
        <v>3</v>
      </c>
      <c r="J280" s="446">
        <v>2</v>
      </c>
      <c r="K280" s="446">
        <v>1</v>
      </c>
      <c r="L280" s="446">
        <v>1</v>
      </c>
      <c r="M280" s="446">
        <v>1</v>
      </c>
      <c r="N280" s="446">
        <v>1</v>
      </c>
      <c r="O280" s="446">
        <v>3</v>
      </c>
      <c r="P280" s="446">
        <v>1</v>
      </c>
      <c r="Q280" s="446">
        <v>0</v>
      </c>
      <c r="R280" s="446">
        <v>0</v>
      </c>
      <c r="S280" s="446">
        <v>0</v>
      </c>
      <c r="T280" s="447">
        <v>0</v>
      </c>
      <c r="U280" s="446">
        <v>0</v>
      </c>
      <c r="V280" s="446"/>
    </row>
    <row r="281" spans="1:22" ht="25.5" customHeight="1">
      <c r="A281" s="445">
        <v>46278</v>
      </c>
      <c r="B281" s="446" t="s">
        <v>20</v>
      </c>
      <c r="C281" s="446" t="s">
        <v>93</v>
      </c>
      <c r="D281" s="446">
        <v>11274.4</v>
      </c>
      <c r="E281" s="446">
        <v>1.5</v>
      </c>
      <c r="F281" s="446">
        <v>0</v>
      </c>
      <c r="G281" s="446">
        <v>0</v>
      </c>
      <c r="H281" s="446">
        <v>33</v>
      </c>
      <c r="I281" s="446">
        <v>4</v>
      </c>
      <c r="J281" s="446">
        <v>2</v>
      </c>
      <c r="K281" s="446">
        <v>1</v>
      </c>
      <c r="L281" s="446">
        <v>3</v>
      </c>
      <c r="M281" s="446">
        <v>2</v>
      </c>
      <c r="N281" s="446">
        <v>0</v>
      </c>
      <c r="O281" s="446">
        <v>3</v>
      </c>
      <c r="P281" s="446">
        <v>1</v>
      </c>
      <c r="Q281" s="446">
        <v>0</v>
      </c>
      <c r="R281" s="446">
        <v>0</v>
      </c>
      <c r="S281" s="446">
        <v>0</v>
      </c>
      <c r="T281" s="447">
        <v>0</v>
      </c>
      <c r="U281" s="446">
        <v>1295</v>
      </c>
      <c r="V281" s="446"/>
    </row>
    <row r="282" spans="1:22" ht="25.5" customHeight="1">
      <c r="A282" s="445">
        <v>46278</v>
      </c>
      <c r="B282" s="446" t="s">
        <v>20</v>
      </c>
      <c r="C282" s="446" t="s">
        <v>105</v>
      </c>
      <c r="D282" s="446">
        <v>3498</v>
      </c>
      <c r="E282" s="446">
        <v>1.5</v>
      </c>
      <c r="F282" s="446">
        <v>0</v>
      </c>
      <c r="G282" s="446">
        <v>0</v>
      </c>
      <c r="H282" s="446">
        <v>8.75</v>
      </c>
      <c r="I282" s="446">
        <v>2</v>
      </c>
      <c r="J282" s="446">
        <v>0</v>
      </c>
      <c r="K282" s="446">
        <v>1</v>
      </c>
      <c r="L282" s="446">
        <v>1</v>
      </c>
      <c r="M282" s="446">
        <v>0</v>
      </c>
      <c r="N282" s="446">
        <v>1</v>
      </c>
      <c r="O282" s="446">
        <v>0</v>
      </c>
      <c r="P282" s="446">
        <v>0</v>
      </c>
      <c r="Q282" s="446">
        <v>1.25</v>
      </c>
      <c r="R282" s="446">
        <v>0</v>
      </c>
      <c r="S282" s="446">
        <v>0</v>
      </c>
      <c r="T282" s="447">
        <v>0</v>
      </c>
      <c r="U282" s="446">
        <v>940</v>
      </c>
      <c r="V282" s="446"/>
    </row>
    <row r="283" spans="1:22" ht="25.5" customHeight="1">
      <c r="A283" s="445">
        <v>46278</v>
      </c>
      <c r="B283" s="446" t="s">
        <v>20</v>
      </c>
      <c r="C283" s="446" t="s">
        <v>102</v>
      </c>
      <c r="D283" s="446">
        <v>0</v>
      </c>
      <c r="E283" s="446">
        <v>0</v>
      </c>
      <c r="F283" s="446">
        <v>0</v>
      </c>
      <c r="G283" s="446">
        <v>0</v>
      </c>
      <c r="H283" s="446">
        <v>0</v>
      </c>
      <c r="I283" s="446">
        <v>0</v>
      </c>
      <c r="J283" s="446">
        <v>0</v>
      </c>
      <c r="K283" s="446">
        <v>0</v>
      </c>
      <c r="L283" s="446">
        <v>0</v>
      </c>
      <c r="M283" s="446">
        <v>0</v>
      </c>
      <c r="N283" s="446">
        <v>0</v>
      </c>
      <c r="O283" s="446">
        <v>0</v>
      </c>
      <c r="P283" s="446">
        <v>0</v>
      </c>
      <c r="Q283" s="446">
        <v>0</v>
      </c>
      <c r="R283" s="446">
        <v>0</v>
      </c>
      <c r="S283" s="446">
        <v>0</v>
      </c>
      <c r="T283" s="447">
        <v>0</v>
      </c>
      <c r="U283" s="446">
        <v>0</v>
      </c>
      <c r="V283" s="446"/>
    </row>
    <row r="284" spans="1:22" ht="25.5" customHeight="1">
      <c r="A284" s="445">
        <v>46278</v>
      </c>
      <c r="B284" s="446" t="s">
        <v>20</v>
      </c>
      <c r="C284" s="446" t="s">
        <v>111</v>
      </c>
      <c r="D284" s="446">
        <v>15529.16</v>
      </c>
      <c r="E284" s="446">
        <v>7.5</v>
      </c>
      <c r="F284" s="446">
        <v>1</v>
      </c>
      <c r="G284" s="446">
        <v>7.5</v>
      </c>
      <c r="H284" s="446">
        <v>67</v>
      </c>
      <c r="I284" s="446">
        <v>5</v>
      </c>
      <c r="J284" s="446">
        <v>3</v>
      </c>
      <c r="K284" s="446">
        <v>0</v>
      </c>
      <c r="L284" s="446">
        <v>2</v>
      </c>
      <c r="M284" s="446">
        <v>2</v>
      </c>
      <c r="N284" s="446">
        <v>1</v>
      </c>
      <c r="O284" s="446">
        <v>3</v>
      </c>
      <c r="P284" s="446">
        <v>2</v>
      </c>
      <c r="Q284" s="446">
        <v>0</v>
      </c>
      <c r="R284" s="446">
        <v>0</v>
      </c>
      <c r="S284" s="446">
        <v>0</v>
      </c>
      <c r="T284" s="447">
        <v>0</v>
      </c>
      <c r="U284" s="446">
        <v>913</v>
      </c>
      <c r="V284" s="446"/>
    </row>
    <row r="285" spans="1:22" ht="25.5" customHeight="1">
      <c r="A285" s="445">
        <v>46278</v>
      </c>
      <c r="B285" s="446" t="s">
        <v>21</v>
      </c>
      <c r="C285" s="446" t="s">
        <v>90</v>
      </c>
      <c r="D285" s="446">
        <v>7028</v>
      </c>
      <c r="E285" s="446">
        <v>0</v>
      </c>
      <c r="F285" s="446">
        <v>0</v>
      </c>
      <c r="G285" s="446">
        <v>0</v>
      </c>
      <c r="H285" s="446">
        <v>22</v>
      </c>
      <c r="I285" s="446">
        <v>3</v>
      </c>
      <c r="J285" s="446">
        <v>2</v>
      </c>
      <c r="K285" s="446">
        <v>0</v>
      </c>
      <c r="L285" s="446">
        <v>1</v>
      </c>
      <c r="M285" s="446">
        <v>1</v>
      </c>
      <c r="N285" s="446">
        <v>1</v>
      </c>
      <c r="O285" s="446">
        <v>2</v>
      </c>
      <c r="P285" s="446">
        <v>1</v>
      </c>
      <c r="Q285" s="446">
        <v>1.5</v>
      </c>
      <c r="R285" s="446">
        <v>0</v>
      </c>
      <c r="S285" s="446">
        <v>0</v>
      </c>
      <c r="T285" s="447">
        <v>749</v>
      </c>
      <c r="U285" s="446">
        <v>0</v>
      </c>
      <c r="V285" s="446"/>
    </row>
    <row r="286" spans="1:22" ht="25.5" customHeight="1">
      <c r="A286" s="445">
        <v>46278</v>
      </c>
      <c r="B286" s="446" t="s">
        <v>21</v>
      </c>
      <c r="C286" s="446" t="s">
        <v>109</v>
      </c>
      <c r="D286" s="446">
        <v>0</v>
      </c>
      <c r="E286" s="446">
        <v>0</v>
      </c>
      <c r="F286" s="446">
        <v>0</v>
      </c>
      <c r="G286" s="446">
        <v>0</v>
      </c>
      <c r="H286" s="446">
        <v>0</v>
      </c>
      <c r="I286" s="446">
        <v>0</v>
      </c>
      <c r="J286" s="446">
        <v>0</v>
      </c>
      <c r="K286" s="446">
        <v>0</v>
      </c>
      <c r="L286" s="446">
        <v>0</v>
      </c>
      <c r="M286" s="446">
        <v>0</v>
      </c>
      <c r="N286" s="446">
        <v>0</v>
      </c>
      <c r="O286" s="446">
        <v>0</v>
      </c>
      <c r="P286" s="446">
        <v>0</v>
      </c>
      <c r="Q286" s="446">
        <v>0</v>
      </c>
      <c r="R286" s="446">
        <v>0</v>
      </c>
      <c r="S286" s="446">
        <v>0</v>
      </c>
      <c r="T286" s="447">
        <v>0</v>
      </c>
      <c r="U286" s="446">
        <v>0</v>
      </c>
      <c r="V286" s="446"/>
    </row>
    <row r="287" spans="1:22" ht="25.5" customHeight="1">
      <c r="A287" s="445">
        <v>46278</v>
      </c>
      <c r="B287" s="446" t="s">
        <v>21</v>
      </c>
      <c r="C287" s="446" t="s">
        <v>103</v>
      </c>
      <c r="D287" s="446">
        <v>5875.2</v>
      </c>
      <c r="E287" s="446">
        <v>0</v>
      </c>
      <c r="F287" s="446">
        <v>0</v>
      </c>
      <c r="G287" s="446">
        <v>0</v>
      </c>
      <c r="H287" s="446">
        <v>9.5</v>
      </c>
      <c r="I287" s="446">
        <v>1</v>
      </c>
      <c r="J287" s="446">
        <v>1</v>
      </c>
      <c r="K287" s="446">
        <v>1</v>
      </c>
      <c r="L287" s="446">
        <v>1</v>
      </c>
      <c r="M287" s="446">
        <v>0</v>
      </c>
      <c r="N287" s="446">
        <v>2</v>
      </c>
      <c r="O287" s="446">
        <v>2</v>
      </c>
      <c r="P287" s="446">
        <v>0</v>
      </c>
      <c r="Q287" s="446">
        <v>0</v>
      </c>
      <c r="R287" s="446">
        <v>0</v>
      </c>
      <c r="S287" s="446">
        <v>0</v>
      </c>
      <c r="T287" s="447">
        <v>0</v>
      </c>
      <c r="U287" s="446">
        <v>845</v>
      </c>
      <c r="V287" s="446"/>
    </row>
    <row r="288" spans="1:22" ht="25.5" customHeight="1">
      <c r="A288" s="445">
        <v>46278</v>
      </c>
      <c r="B288" s="446" t="s">
        <v>21</v>
      </c>
      <c r="C288" s="446" t="s">
        <v>112</v>
      </c>
      <c r="D288" s="446">
        <v>1750</v>
      </c>
      <c r="E288" s="446">
        <v>0</v>
      </c>
      <c r="F288" s="446">
        <v>0</v>
      </c>
      <c r="G288" s="446">
        <v>0</v>
      </c>
      <c r="H288" s="446">
        <v>14.5</v>
      </c>
      <c r="I288" s="446">
        <v>1</v>
      </c>
      <c r="J288" s="446">
        <v>1</v>
      </c>
      <c r="K288" s="446">
        <v>0</v>
      </c>
      <c r="L288" s="446">
        <v>1</v>
      </c>
      <c r="M288" s="446">
        <v>1</v>
      </c>
      <c r="N288" s="446">
        <v>0</v>
      </c>
      <c r="O288" s="446">
        <v>1</v>
      </c>
      <c r="P288" s="446">
        <v>1</v>
      </c>
      <c r="Q288" s="446">
        <v>0</v>
      </c>
      <c r="R288" s="446">
        <v>0</v>
      </c>
      <c r="S288" s="446">
        <v>0</v>
      </c>
      <c r="T288" s="447">
        <v>0</v>
      </c>
      <c r="U288" s="446">
        <v>0</v>
      </c>
      <c r="V288" s="446"/>
    </row>
    <row r="289" spans="1:22" ht="25.5" customHeight="1">
      <c r="A289" s="445">
        <v>46279</v>
      </c>
      <c r="B289" s="446" t="s">
        <v>17</v>
      </c>
      <c r="C289" s="446" t="s">
        <v>96</v>
      </c>
      <c r="D289" s="446">
        <v>6281</v>
      </c>
      <c r="E289" s="446">
        <v>2</v>
      </c>
      <c r="F289" s="446">
        <v>0</v>
      </c>
      <c r="G289" s="446">
        <v>2</v>
      </c>
      <c r="H289" s="446">
        <v>24</v>
      </c>
      <c r="I289" s="446">
        <v>3</v>
      </c>
      <c r="J289" s="446">
        <v>0</v>
      </c>
      <c r="K289" s="446">
        <v>1</v>
      </c>
      <c r="L289" s="446">
        <v>3</v>
      </c>
      <c r="M289" s="446">
        <v>3</v>
      </c>
      <c r="N289" s="446">
        <v>1</v>
      </c>
      <c r="O289" s="446">
        <v>2</v>
      </c>
      <c r="P289" s="446">
        <v>2</v>
      </c>
      <c r="Q289" s="446">
        <v>0</v>
      </c>
      <c r="R289" s="446">
        <v>0</v>
      </c>
      <c r="S289" s="446">
        <v>0</v>
      </c>
      <c r="T289" s="447">
        <v>0</v>
      </c>
      <c r="U289" s="446">
        <v>1737</v>
      </c>
      <c r="V289" s="446"/>
    </row>
    <row r="290" spans="1:22" ht="25.5" customHeight="1">
      <c r="A290" s="445">
        <v>46279</v>
      </c>
      <c r="B290" s="446" t="s">
        <v>17</v>
      </c>
      <c r="C290" s="446" t="s">
        <v>108</v>
      </c>
      <c r="D290" s="446">
        <v>0</v>
      </c>
      <c r="E290" s="446">
        <v>0</v>
      </c>
      <c r="F290" s="446">
        <v>0</v>
      </c>
      <c r="G290" s="446">
        <v>0</v>
      </c>
      <c r="H290" s="446">
        <v>0</v>
      </c>
      <c r="I290" s="446">
        <v>0</v>
      </c>
      <c r="J290" s="446">
        <v>0</v>
      </c>
      <c r="K290" s="446">
        <v>0</v>
      </c>
      <c r="L290" s="446">
        <v>0</v>
      </c>
      <c r="M290" s="446">
        <v>0</v>
      </c>
      <c r="N290" s="446">
        <v>0</v>
      </c>
      <c r="O290" s="446">
        <v>0</v>
      </c>
      <c r="P290" s="446">
        <v>0</v>
      </c>
      <c r="Q290" s="446">
        <v>0</v>
      </c>
      <c r="R290" s="446">
        <v>0</v>
      </c>
      <c r="S290" s="446">
        <v>0</v>
      </c>
      <c r="T290" s="447">
        <v>0</v>
      </c>
      <c r="U290" s="446">
        <v>0</v>
      </c>
      <c r="V290" s="446"/>
    </row>
    <row r="291" spans="1:22" ht="25.5" customHeight="1">
      <c r="A291" s="445">
        <v>46279</v>
      </c>
      <c r="B291" s="446" t="s">
        <v>17</v>
      </c>
      <c r="C291" s="446" t="s">
        <v>101</v>
      </c>
      <c r="D291" s="446">
        <v>600</v>
      </c>
      <c r="E291" s="446">
        <v>0</v>
      </c>
      <c r="F291" s="446">
        <v>0</v>
      </c>
      <c r="G291" s="446">
        <v>0</v>
      </c>
      <c r="H291" s="446">
        <v>0.25</v>
      </c>
      <c r="I291" s="446">
        <v>1</v>
      </c>
      <c r="J291" s="446">
        <v>0</v>
      </c>
      <c r="K291" s="446">
        <v>0</v>
      </c>
      <c r="L291" s="446">
        <v>0</v>
      </c>
      <c r="M291" s="446">
        <v>0</v>
      </c>
      <c r="N291" s="446">
        <v>0</v>
      </c>
      <c r="O291" s="446">
        <v>1</v>
      </c>
      <c r="P291" s="446">
        <v>0</v>
      </c>
      <c r="Q291" s="446">
        <v>0</v>
      </c>
      <c r="R291" s="446">
        <v>0</v>
      </c>
      <c r="S291" s="446">
        <v>0</v>
      </c>
      <c r="T291" s="447">
        <v>0</v>
      </c>
      <c r="U291" s="446">
        <v>0</v>
      </c>
      <c r="V291" s="446"/>
    </row>
    <row r="292" spans="1:22" ht="25.5" customHeight="1">
      <c r="A292" s="445">
        <v>46279</v>
      </c>
      <c r="B292" s="446" t="s">
        <v>17</v>
      </c>
      <c r="C292" s="446" t="s">
        <v>106</v>
      </c>
      <c r="D292" s="446">
        <v>9085.2799999999988</v>
      </c>
      <c r="E292" s="446">
        <v>11.5</v>
      </c>
      <c r="F292" s="446">
        <v>1</v>
      </c>
      <c r="G292" s="446">
        <v>11.5</v>
      </c>
      <c r="H292" s="446">
        <v>0</v>
      </c>
      <c r="I292" s="446">
        <v>0</v>
      </c>
      <c r="J292" s="446">
        <v>0</v>
      </c>
      <c r="K292" s="446">
        <v>0</v>
      </c>
      <c r="L292" s="446">
        <v>0</v>
      </c>
      <c r="M292" s="446">
        <v>0</v>
      </c>
      <c r="N292" s="446">
        <v>2</v>
      </c>
      <c r="O292" s="446">
        <v>1</v>
      </c>
      <c r="P292" s="446">
        <v>1</v>
      </c>
      <c r="Q292" s="446">
        <v>0</v>
      </c>
      <c r="R292" s="446">
        <v>0</v>
      </c>
      <c r="S292" s="446">
        <v>0</v>
      </c>
      <c r="T292" s="447">
        <v>0</v>
      </c>
      <c r="U292" s="446">
        <v>2144</v>
      </c>
      <c r="V292" s="446"/>
    </row>
    <row r="293" spans="1:22" ht="25.5" customHeight="1">
      <c r="A293" s="445">
        <v>46279</v>
      </c>
      <c r="B293" s="446" t="s">
        <v>22</v>
      </c>
      <c r="C293" s="446" t="s">
        <v>23</v>
      </c>
      <c r="D293" s="446">
        <v>7426.2</v>
      </c>
      <c r="E293" s="446">
        <v>0</v>
      </c>
      <c r="F293" s="446">
        <v>0</v>
      </c>
      <c r="G293" s="446">
        <v>0</v>
      </c>
      <c r="H293" s="446">
        <v>23</v>
      </c>
      <c r="I293" s="446">
        <v>2</v>
      </c>
      <c r="J293" s="446">
        <v>1</v>
      </c>
      <c r="K293" s="446">
        <v>0</v>
      </c>
      <c r="L293" s="446">
        <v>2</v>
      </c>
      <c r="M293" s="446">
        <v>2</v>
      </c>
      <c r="N293" s="446">
        <v>0</v>
      </c>
      <c r="O293" s="446">
        <v>2</v>
      </c>
      <c r="P293" s="446">
        <v>1</v>
      </c>
      <c r="Q293" s="446">
        <v>0</v>
      </c>
      <c r="R293" s="446">
        <v>0</v>
      </c>
      <c r="S293" s="446">
        <v>0</v>
      </c>
      <c r="T293" s="447">
        <v>0</v>
      </c>
      <c r="U293" s="446">
        <v>3035.91</v>
      </c>
      <c r="V293" s="446"/>
    </row>
    <row r="294" spans="1:22" ht="25.5" customHeight="1">
      <c r="A294" s="445">
        <v>46279</v>
      </c>
      <c r="B294" s="446" t="s">
        <v>18</v>
      </c>
      <c r="C294" s="446" t="s">
        <v>97</v>
      </c>
      <c r="D294" s="446">
        <v>0</v>
      </c>
      <c r="E294" s="446">
        <v>0</v>
      </c>
      <c r="F294" s="446">
        <v>0</v>
      </c>
      <c r="G294" s="446">
        <v>0</v>
      </c>
      <c r="H294" s="446">
        <v>0</v>
      </c>
      <c r="I294" s="446">
        <v>0</v>
      </c>
      <c r="J294" s="446">
        <v>0</v>
      </c>
      <c r="K294" s="446">
        <v>0</v>
      </c>
      <c r="L294" s="446">
        <v>0</v>
      </c>
      <c r="M294" s="446">
        <v>0</v>
      </c>
      <c r="N294" s="446">
        <v>0</v>
      </c>
      <c r="O294" s="446">
        <v>0</v>
      </c>
      <c r="P294" s="446">
        <v>0</v>
      </c>
      <c r="Q294" s="446">
        <v>0</v>
      </c>
      <c r="R294" s="446">
        <v>0</v>
      </c>
      <c r="S294" s="446">
        <v>0</v>
      </c>
      <c r="T294" s="447">
        <v>0</v>
      </c>
      <c r="U294" s="446">
        <v>0</v>
      </c>
      <c r="V294" s="446"/>
    </row>
    <row r="295" spans="1:22" ht="25.5" customHeight="1">
      <c r="A295" s="445">
        <v>46279</v>
      </c>
      <c r="B295" s="446" t="s">
        <v>18</v>
      </c>
      <c r="C295" s="446" t="s">
        <v>98</v>
      </c>
      <c r="D295" s="446">
        <v>7700</v>
      </c>
      <c r="E295" s="446">
        <v>11.5</v>
      </c>
      <c r="F295" s="446">
        <v>1</v>
      </c>
      <c r="G295" s="446">
        <v>11.5</v>
      </c>
      <c r="H295" s="446">
        <v>8.5</v>
      </c>
      <c r="I295" s="446">
        <v>1</v>
      </c>
      <c r="J295" s="446">
        <v>0</v>
      </c>
      <c r="K295" s="446">
        <v>0</v>
      </c>
      <c r="L295" s="446">
        <v>1</v>
      </c>
      <c r="M295" s="446">
        <v>1</v>
      </c>
      <c r="N295" s="446">
        <v>2</v>
      </c>
      <c r="O295" s="446">
        <v>3</v>
      </c>
      <c r="P295" s="446">
        <v>1</v>
      </c>
      <c r="Q295" s="446">
        <v>0</v>
      </c>
      <c r="R295" s="446">
        <v>0</v>
      </c>
      <c r="S295" s="446">
        <v>0</v>
      </c>
      <c r="T295" s="447">
        <v>0</v>
      </c>
      <c r="U295" s="446">
        <v>50</v>
      </c>
      <c r="V295" s="446"/>
    </row>
    <row r="296" spans="1:22" ht="25.5" customHeight="1">
      <c r="A296" s="445">
        <v>46279</v>
      </c>
      <c r="B296" s="446" t="s">
        <v>18</v>
      </c>
      <c r="C296" s="446" t="s">
        <v>110</v>
      </c>
      <c r="D296" s="446">
        <v>6700</v>
      </c>
      <c r="E296" s="446">
        <v>0</v>
      </c>
      <c r="F296" s="446">
        <v>0</v>
      </c>
      <c r="G296" s="446">
        <v>0</v>
      </c>
      <c r="H296" s="446">
        <v>17.5</v>
      </c>
      <c r="I296" s="446">
        <v>3</v>
      </c>
      <c r="J296" s="446">
        <v>1</v>
      </c>
      <c r="K296" s="446">
        <v>1</v>
      </c>
      <c r="L296" s="446">
        <v>3</v>
      </c>
      <c r="M296" s="446">
        <v>0</v>
      </c>
      <c r="N296" s="446">
        <v>0</v>
      </c>
      <c r="O296" s="446">
        <v>2</v>
      </c>
      <c r="P296" s="446">
        <v>1</v>
      </c>
      <c r="Q296" s="446">
        <v>0</v>
      </c>
      <c r="R296" s="446">
        <v>0</v>
      </c>
      <c r="S296" s="446">
        <v>0</v>
      </c>
      <c r="T296" s="447">
        <v>0</v>
      </c>
      <c r="U296" s="446">
        <v>0</v>
      </c>
      <c r="V296" s="446"/>
    </row>
    <row r="297" spans="1:22" ht="25.5" customHeight="1">
      <c r="A297" s="445">
        <v>46279</v>
      </c>
      <c r="B297" s="446" t="s">
        <v>19</v>
      </c>
      <c r="C297" s="446" t="s">
        <v>99</v>
      </c>
      <c r="D297" s="446">
        <v>6340.2</v>
      </c>
      <c r="E297" s="446">
        <v>0</v>
      </c>
      <c r="F297" s="446">
        <v>0</v>
      </c>
      <c r="G297" s="446">
        <v>0</v>
      </c>
      <c r="H297" s="446">
        <v>32.5</v>
      </c>
      <c r="I297" s="446">
        <v>1</v>
      </c>
      <c r="J297" s="446">
        <v>1</v>
      </c>
      <c r="K297" s="446">
        <v>0</v>
      </c>
      <c r="L297" s="446">
        <v>2</v>
      </c>
      <c r="M297" s="446">
        <v>1</v>
      </c>
      <c r="N297" s="446">
        <v>0</v>
      </c>
      <c r="O297" s="446">
        <v>2</v>
      </c>
      <c r="P297" s="446">
        <v>1</v>
      </c>
      <c r="Q297" s="446">
        <v>0</v>
      </c>
      <c r="R297" s="446">
        <v>0</v>
      </c>
      <c r="S297" s="446">
        <v>0</v>
      </c>
      <c r="T297" s="447">
        <v>0</v>
      </c>
      <c r="U297" s="446">
        <v>110</v>
      </c>
      <c r="V297" s="446"/>
    </row>
    <row r="298" spans="1:22" ht="25.5" customHeight="1">
      <c r="A298" s="445">
        <v>46279</v>
      </c>
      <c r="B298" s="446" t="s">
        <v>19</v>
      </c>
      <c r="C298" s="446" t="s">
        <v>88</v>
      </c>
      <c r="D298" s="446">
        <v>1020</v>
      </c>
      <c r="E298" s="446">
        <v>0</v>
      </c>
      <c r="F298" s="446">
        <v>0</v>
      </c>
      <c r="G298" s="446">
        <v>0</v>
      </c>
      <c r="H298" s="446">
        <v>0</v>
      </c>
      <c r="I298" s="446">
        <v>0</v>
      </c>
      <c r="J298" s="446">
        <v>0</v>
      </c>
      <c r="K298" s="446">
        <v>0</v>
      </c>
      <c r="L298" s="446">
        <v>0</v>
      </c>
      <c r="M298" s="446">
        <v>0</v>
      </c>
      <c r="N298" s="446">
        <v>0</v>
      </c>
      <c r="O298" s="446">
        <v>0</v>
      </c>
      <c r="P298" s="446">
        <v>0</v>
      </c>
      <c r="Q298" s="446">
        <v>1.5</v>
      </c>
      <c r="R298" s="446">
        <v>0</v>
      </c>
      <c r="S298" s="446">
        <v>0</v>
      </c>
      <c r="T298" s="447">
        <v>799</v>
      </c>
      <c r="U298" s="446">
        <v>0</v>
      </c>
      <c r="V298" s="446"/>
    </row>
    <row r="299" spans="1:22" ht="25.5" customHeight="1">
      <c r="A299" s="445">
        <v>46279</v>
      </c>
      <c r="B299" s="446" t="s">
        <v>19</v>
      </c>
      <c r="C299" s="446" t="s">
        <v>107</v>
      </c>
      <c r="D299" s="446">
        <v>6486</v>
      </c>
      <c r="E299" s="446">
        <v>0</v>
      </c>
      <c r="F299" s="446">
        <v>0</v>
      </c>
      <c r="G299" s="446">
        <v>0</v>
      </c>
      <c r="H299" s="446">
        <v>5.5</v>
      </c>
      <c r="I299" s="446">
        <v>2</v>
      </c>
      <c r="J299" s="446">
        <v>0</v>
      </c>
      <c r="K299" s="446">
        <v>1</v>
      </c>
      <c r="L299" s="446">
        <v>0</v>
      </c>
      <c r="M299" s="446">
        <v>0</v>
      </c>
      <c r="N299" s="446">
        <v>1</v>
      </c>
      <c r="O299" s="446">
        <v>0</v>
      </c>
      <c r="P299" s="446">
        <v>1</v>
      </c>
      <c r="Q299" s="446">
        <v>0</v>
      </c>
      <c r="R299" s="446">
        <v>0</v>
      </c>
      <c r="S299" s="446">
        <v>0</v>
      </c>
      <c r="T299" s="447">
        <v>0</v>
      </c>
      <c r="U299" s="446">
        <v>1403</v>
      </c>
      <c r="V299" s="446"/>
    </row>
    <row r="300" spans="1:22" ht="25.5" customHeight="1">
      <c r="A300" s="445">
        <v>46279</v>
      </c>
      <c r="B300" s="446" t="s">
        <v>20</v>
      </c>
      <c r="C300" s="446" t="s">
        <v>93</v>
      </c>
      <c r="D300" s="446">
        <v>0</v>
      </c>
      <c r="E300" s="446">
        <v>0</v>
      </c>
      <c r="F300" s="446">
        <v>0</v>
      </c>
      <c r="G300" s="446">
        <v>0</v>
      </c>
      <c r="H300" s="446">
        <v>0</v>
      </c>
      <c r="I300" s="446">
        <v>0</v>
      </c>
      <c r="J300" s="446">
        <v>0</v>
      </c>
      <c r="K300" s="446">
        <v>0</v>
      </c>
      <c r="L300" s="446">
        <v>0</v>
      </c>
      <c r="M300" s="446">
        <v>0</v>
      </c>
      <c r="N300" s="446">
        <v>0</v>
      </c>
      <c r="O300" s="446">
        <v>0</v>
      </c>
      <c r="P300" s="446">
        <v>0</v>
      </c>
      <c r="Q300" s="446">
        <v>0</v>
      </c>
      <c r="R300" s="446">
        <v>0</v>
      </c>
      <c r="S300" s="446">
        <v>0</v>
      </c>
      <c r="T300" s="447">
        <v>0</v>
      </c>
      <c r="U300" s="446">
        <v>0</v>
      </c>
      <c r="V300" s="446"/>
    </row>
    <row r="301" spans="1:22" ht="25.5" customHeight="1">
      <c r="A301" s="445">
        <v>46279</v>
      </c>
      <c r="B301" s="446" t="s">
        <v>20</v>
      </c>
      <c r="C301" s="446" t="s">
        <v>105</v>
      </c>
      <c r="D301" s="446">
        <v>650</v>
      </c>
      <c r="E301" s="446">
        <v>0</v>
      </c>
      <c r="F301" s="446">
        <v>0</v>
      </c>
      <c r="G301" s="446">
        <v>0</v>
      </c>
      <c r="H301" s="446">
        <v>3.5</v>
      </c>
      <c r="I301" s="446">
        <v>1</v>
      </c>
      <c r="J301" s="446">
        <v>0</v>
      </c>
      <c r="K301" s="446">
        <v>1</v>
      </c>
      <c r="L301" s="446">
        <v>0</v>
      </c>
      <c r="M301" s="446">
        <v>0</v>
      </c>
      <c r="N301" s="446">
        <v>0</v>
      </c>
      <c r="O301" s="446">
        <v>0</v>
      </c>
      <c r="P301" s="446">
        <v>0</v>
      </c>
      <c r="Q301" s="446">
        <v>0</v>
      </c>
      <c r="R301" s="446">
        <v>0</v>
      </c>
      <c r="S301" s="446">
        <v>0</v>
      </c>
      <c r="T301" s="447">
        <v>0</v>
      </c>
      <c r="U301" s="446">
        <v>0</v>
      </c>
      <c r="V301" s="446"/>
    </row>
    <row r="302" spans="1:22" ht="25.5" customHeight="1">
      <c r="A302" s="445">
        <v>46279</v>
      </c>
      <c r="B302" s="446" t="s">
        <v>20</v>
      </c>
      <c r="C302" s="446" t="s">
        <v>102</v>
      </c>
      <c r="D302" s="446">
        <v>470.2</v>
      </c>
      <c r="E302" s="446">
        <v>0</v>
      </c>
      <c r="F302" s="446">
        <v>0</v>
      </c>
      <c r="G302" s="446">
        <v>0</v>
      </c>
      <c r="H302" s="446">
        <v>1</v>
      </c>
      <c r="I302" s="446">
        <v>0</v>
      </c>
      <c r="J302" s="446">
        <v>0</v>
      </c>
      <c r="K302" s="446">
        <v>0</v>
      </c>
      <c r="L302" s="446">
        <v>0</v>
      </c>
      <c r="M302" s="446">
        <v>0</v>
      </c>
      <c r="N302" s="446">
        <v>0</v>
      </c>
      <c r="O302" s="446">
        <v>1</v>
      </c>
      <c r="P302" s="446">
        <v>0</v>
      </c>
      <c r="Q302" s="446">
        <v>0</v>
      </c>
      <c r="R302" s="446">
        <v>0</v>
      </c>
      <c r="S302" s="446">
        <v>0</v>
      </c>
      <c r="T302" s="447">
        <v>0</v>
      </c>
      <c r="U302" s="446">
        <v>1130</v>
      </c>
      <c r="V302" s="446"/>
    </row>
    <row r="303" spans="1:22" ht="25.5" customHeight="1">
      <c r="A303" s="445">
        <v>46279</v>
      </c>
      <c r="B303" s="446" t="s">
        <v>20</v>
      </c>
      <c r="C303" s="446" t="s">
        <v>111</v>
      </c>
      <c r="D303" s="446">
        <v>555</v>
      </c>
      <c r="E303" s="446">
        <v>0</v>
      </c>
      <c r="F303" s="446">
        <v>0</v>
      </c>
      <c r="G303" s="446">
        <v>0</v>
      </c>
      <c r="H303" s="446">
        <v>3</v>
      </c>
      <c r="I303" s="446">
        <v>0</v>
      </c>
      <c r="J303" s="446">
        <v>0</v>
      </c>
      <c r="K303" s="446">
        <v>0</v>
      </c>
      <c r="L303" s="446">
        <v>1</v>
      </c>
      <c r="M303" s="446">
        <v>0</v>
      </c>
      <c r="N303" s="446">
        <v>0</v>
      </c>
      <c r="O303" s="446">
        <v>1</v>
      </c>
      <c r="P303" s="446">
        <v>0</v>
      </c>
      <c r="Q303" s="446">
        <v>0</v>
      </c>
      <c r="R303" s="446">
        <v>0</v>
      </c>
      <c r="S303" s="446">
        <v>0</v>
      </c>
      <c r="T303" s="447">
        <v>0</v>
      </c>
      <c r="U303" s="446">
        <v>235</v>
      </c>
      <c r="V303" s="446"/>
    </row>
    <row r="304" spans="1:22" ht="25.5" customHeight="1">
      <c r="A304" s="445">
        <v>46279</v>
      </c>
      <c r="B304" s="446" t="s">
        <v>21</v>
      </c>
      <c r="C304" s="446" t="s">
        <v>90</v>
      </c>
      <c r="D304" s="446">
        <v>4702</v>
      </c>
      <c r="E304" s="446">
        <v>0</v>
      </c>
      <c r="F304" s="446">
        <v>0</v>
      </c>
      <c r="G304" s="446">
        <v>0</v>
      </c>
      <c r="H304" s="446">
        <v>19.2</v>
      </c>
      <c r="I304" s="446">
        <v>4</v>
      </c>
      <c r="J304" s="446">
        <v>2</v>
      </c>
      <c r="K304" s="446">
        <v>1</v>
      </c>
      <c r="L304" s="446">
        <v>2</v>
      </c>
      <c r="M304" s="446">
        <v>0</v>
      </c>
      <c r="N304" s="446">
        <v>1</v>
      </c>
      <c r="O304" s="446">
        <v>2</v>
      </c>
      <c r="P304" s="446">
        <v>0</v>
      </c>
      <c r="Q304" s="446">
        <v>0</v>
      </c>
      <c r="R304" s="446">
        <v>0</v>
      </c>
      <c r="S304" s="446">
        <v>0</v>
      </c>
      <c r="T304" s="447">
        <v>0</v>
      </c>
      <c r="U304" s="446">
        <v>455</v>
      </c>
      <c r="V304" s="446"/>
    </row>
    <row r="305" spans="1:22" ht="25.5" customHeight="1">
      <c r="A305" s="445">
        <v>46279</v>
      </c>
      <c r="B305" s="446" t="s">
        <v>21</v>
      </c>
      <c r="C305" s="446" t="s">
        <v>109</v>
      </c>
      <c r="D305" s="446">
        <v>7421</v>
      </c>
      <c r="E305" s="446">
        <v>6.5</v>
      </c>
      <c r="F305" s="446">
        <v>1</v>
      </c>
      <c r="G305" s="446">
        <v>6.5</v>
      </c>
      <c r="H305" s="446">
        <v>6.75</v>
      </c>
      <c r="I305" s="446">
        <v>2</v>
      </c>
      <c r="J305" s="446">
        <v>0</v>
      </c>
      <c r="K305" s="446">
        <v>0</v>
      </c>
      <c r="L305" s="446">
        <v>0</v>
      </c>
      <c r="M305" s="446">
        <v>0</v>
      </c>
      <c r="N305" s="446">
        <v>1</v>
      </c>
      <c r="O305" s="446">
        <v>2</v>
      </c>
      <c r="P305" s="446">
        <v>1</v>
      </c>
      <c r="Q305" s="446">
        <v>0.75</v>
      </c>
      <c r="R305" s="446">
        <v>0</v>
      </c>
      <c r="S305" s="446">
        <v>0</v>
      </c>
      <c r="T305" s="447">
        <v>0</v>
      </c>
      <c r="U305" s="446">
        <v>2089</v>
      </c>
      <c r="V305" s="446"/>
    </row>
    <row r="306" spans="1:22" ht="25.5" customHeight="1">
      <c r="A306" s="445">
        <v>46279</v>
      </c>
      <c r="B306" s="446" t="s">
        <v>21</v>
      </c>
      <c r="C306" s="446" t="s">
        <v>103</v>
      </c>
      <c r="D306" s="446">
        <v>0</v>
      </c>
      <c r="E306" s="446">
        <v>0</v>
      </c>
      <c r="F306" s="446">
        <v>0</v>
      </c>
      <c r="G306" s="446">
        <v>0</v>
      </c>
      <c r="H306" s="446">
        <v>0</v>
      </c>
      <c r="I306" s="446">
        <v>0</v>
      </c>
      <c r="J306" s="446">
        <v>0</v>
      </c>
      <c r="K306" s="446">
        <v>0</v>
      </c>
      <c r="L306" s="446">
        <v>0</v>
      </c>
      <c r="M306" s="446">
        <v>0</v>
      </c>
      <c r="N306" s="446">
        <v>0</v>
      </c>
      <c r="O306" s="446">
        <v>0</v>
      </c>
      <c r="P306" s="446">
        <v>0</v>
      </c>
      <c r="Q306" s="446">
        <v>0</v>
      </c>
      <c r="R306" s="446">
        <v>0</v>
      </c>
      <c r="S306" s="446">
        <v>0</v>
      </c>
      <c r="T306" s="447">
        <v>0</v>
      </c>
      <c r="U306" s="446">
        <v>0</v>
      </c>
      <c r="V306" s="446"/>
    </row>
    <row r="307" spans="1:22" ht="25.5" customHeight="1">
      <c r="A307" s="445">
        <v>46279</v>
      </c>
      <c r="B307" s="446" t="s">
        <v>21</v>
      </c>
      <c r="C307" s="446" t="s">
        <v>112</v>
      </c>
      <c r="D307" s="446">
        <v>0</v>
      </c>
      <c r="E307" s="446">
        <v>0</v>
      </c>
      <c r="F307" s="446">
        <v>0</v>
      </c>
      <c r="G307" s="446">
        <v>0</v>
      </c>
      <c r="H307" s="446">
        <v>0</v>
      </c>
      <c r="I307" s="446">
        <v>0</v>
      </c>
      <c r="J307" s="446">
        <v>0</v>
      </c>
      <c r="K307" s="446">
        <v>0</v>
      </c>
      <c r="L307" s="446">
        <v>0</v>
      </c>
      <c r="M307" s="446">
        <v>0</v>
      </c>
      <c r="N307" s="446">
        <v>0</v>
      </c>
      <c r="O307" s="446">
        <v>0</v>
      </c>
      <c r="P307" s="446">
        <v>0</v>
      </c>
      <c r="Q307" s="446">
        <v>0</v>
      </c>
      <c r="R307" s="446">
        <v>0</v>
      </c>
      <c r="S307" s="446">
        <v>0</v>
      </c>
      <c r="T307" s="447">
        <v>0</v>
      </c>
      <c r="U307" s="446">
        <v>0</v>
      </c>
      <c r="V307" s="446"/>
    </row>
    <row r="308" spans="1:22" ht="25.5" customHeight="1">
      <c r="A308" s="445">
        <v>46280</v>
      </c>
      <c r="B308" s="446" t="s">
        <v>17</v>
      </c>
      <c r="C308" s="446" t="s">
        <v>96</v>
      </c>
      <c r="D308" s="446">
        <v>1627</v>
      </c>
      <c r="E308" s="446">
        <v>0</v>
      </c>
      <c r="F308" s="446">
        <v>0</v>
      </c>
      <c r="G308" s="446">
        <v>0</v>
      </c>
      <c r="H308" s="446">
        <v>0</v>
      </c>
      <c r="I308" s="446">
        <v>0</v>
      </c>
      <c r="J308" s="446">
        <v>0</v>
      </c>
      <c r="K308" s="446">
        <v>0</v>
      </c>
      <c r="L308" s="446">
        <v>0</v>
      </c>
      <c r="M308" s="446">
        <v>0</v>
      </c>
      <c r="N308" s="446">
        <v>0</v>
      </c>
      <c r="O308" s="446">
        <v>0</v>
      </c>
      <c r="P308" s="446">
        <v>0</v>
      </c>
      <c r="Q308" s="446">
        <v>0</v>
      </c>
      <c r="R308" s="446">
        <v>0</v>
      </c>
      <c r="S308" s="446">
        <v>0</v>
      </c>
      <c r="T308" s="447">
        <v>0</v>
      </c>
      <c r="U308" s="446">
        <v>500</v>
      </c>
      <c r="V308" s="446"/>
    </row>
    <row r="309" spans="1:22" ht="25.5" customHeight="1">
      <c r="A309" s="445">
        <v>46280</v>
      </c>
      <c r="B309" s="446" t="s">
        <v>17</v>
      </c>
      <c r="C309" s="446" t="s">
        <v>108</v>
      </c>
      <c r="D309" s="446">
        <v>198</v>
      </c>
      <c r="E309" s="446">
        <v>0</v>
      </c>
      <c r="F309" s="446">
        <v>0</v>
      </c>
      <c r="G309" s="446">
        <v>0</v>
      </c>
      <c r="H309" s="446">
        <v>0</v>
      </c>
      <c r="I309" s="446">
        <v>0</v>
      </c>
      <c r="J309" s="446">
        <v>0</v>
      </c>
      <c r="K309" s="446">
        <v>0</v>
      </c>
      <c r="L309" s="446">
        <v>0</v>
      </c>
      <c r="M309" s="446">
        <v>0</v>
      </c>
      <c r="N309" s="446">
        <v>0</v>
      </c>
      <c r="O309" s="446">
        <v>0</v>
      </c>
      <c r="P309" s="446">
        <v>0</v>
      </c>
      <c r="Q309" s="446">
        <v>0</v>
      </c>
      <c r="R309" s="446">
        <v>0</v>
      </c>
      <c r="S309" s="446">
        <v>0</v>
      </c>
      <c r="T309" s="447">
        <v>0</v>
      </c>
      <c r="U309" s="446">
        <v>0</v>
      </c>
      <c r="V309" s="446"/>
    </row>
    <row r="310" spans="1:22" ht="25.5" customHeight="1">
      <c r="A310" s="445">
        <v>46280</v>
      </c>
      <c r="B310" s="446" t="s">
        <v>17</v>
      </c>
      <c r="C310" s="446" t="s">
        <v>101</v>
      </c>
      <c r="D310" s="446">
        <v>550</v>
      </c>
      <c r="E310" s="446">
        <v>0</v>
      </c>
      <c r="F310" s="446">
        <v>0</v>
      </c>
      <c r="G310" s="446">
        <v>0</v>
      </c>
      <c r="H310" s="446">
        <v>0</v>
      </c>
      <c r="I310" s="446">
        <v>0</v>
      </c>
      <c r="J310" s="446">
        <v>0</v>
      </c>
      <c r="K310" s="446">
        <v>0</v>
      </c>
      <c r="L310" s="446">
        <v>0</v>
      </c>
      <c r="M310" s="446">
        <v>0</v>
      </c>
      <c r="N310" s="446">
        <v>0</v>
      </c>
      <c r="O310" s="446">
        <v>0</v>
      </c>
      <c r="P310" s="446">
        <v>0</v>
      </c>
      <c r="Q310" s="446">
        <v>0</v>
      </c>
      <c r="R310" s="446">
        <v>0</v>
      </c>
      <c r="S310" s="446">
        <v>0</v>
      </c>
      <c r="T310" s="447">
        <v>0</v>
      </c>
      <c r="U310" s="446">
        <v>0</v>
      </c>
      <c r="V310" s="446"/>
    </row>
    <row r="311" spans="1:22" ht="25.5" customHeight="1">
      <c r="A311" s="445">
        <v>46280</v>
      </c>
      <c r="B311" s="446" t="s">
        <v>17</v>
      </c>
      <c r="C311" s="446" t="s">
        <v>106</v>
      </c>
      <c r="D311" s="446">
        <v>640</v>
      </c>
      <c r="E311" s="446">
        <v>0</v>
      </c>
      <c r="F311" s="446">
        <v>0</v>
      </c>
      <c r="G311" s="446">
        <v>0</v>
      </c>
      <c r="H311" s="446">
        <v>0</v>
      </c>
      <c r="I311" s="446">
        <v>0</v>
      </c>
      <c r="J311" s="446">
        <v>0</v>
      </c>
      <c r="K311" s="446">
        <v>0</v>
      </c>
      <c r="L311" s="446">
        <v>0</v>
      </c>
      <c r="M311" s="446">
        <v>0</v>
      </c>
      <c r="N311" s="446">
        <v>0</v>
      </c>
      <c r="O311" s="446">
        <v>0</v>
      </c>
      <c r="P311" s="446">
        <v>0</v>
      </c>
      <c r="Q311" s="446">
        <v>0</v>
      </c>
      <c r="R311" s="446">
        <v>0</v>
      </c>
      <c r="S311" s="446">
        <v>0</v>
      </c>
      <c r="T311" s="447">
        <v>0</v>
      </c>
      <c r="U311" s="446">
        <v>0</v>
      </c>
      <c r="V311" s="446"/>
    </row>
    <row r="312" spans="1:22" ht="25.5" customHeight="1">
      <c r="A312" s="445">
        <v>46280</v>
      </c>
      <c r="B312" s="446" t="s">
        <v>22</v>
      </c>
      <c r="C312" s="446" t="s">
        <v>23</v>
      </c>
      <c r="D312" s="446">
        <v>0</v>
      </c>
      <c r="E312" s="446">
        <v>0</v>
      </c>
      <c r="F312" s="446">
        <v>0</v>
      </c>
      <c r="G312" s="446">
        <v>0</v>
      </c>
      <c r="H312" s="446">
        <v>0</v>
      </c>
      <c r="I312" s="446">
        <v>0</v>
      </c>
      <c r="J312" s="446">
        <v>0</v>
      </c>
      <c r="K312" s="446">
        <v>0</v>
      </c>
      <c r="L312" s="446">
        <v>0</v>
      </c>
      <c r="M312" s="446">
        <v>0</v>
      </c>
      <c r="N312" s="446">
        <v>0</v>
      </c>
      <c r="O312" s="446">
        <v>0</v>
      </c>
      <c r="P312" s="446">
        <v>0</v>
      </c>
      <c r="Q312" s="446">
        <v>0</v>
      </c>
      <c r="R312" s="446">
        <v>0</v>
      </c>
      <c r="S312" s="446">
        <v>0</v>
      </c>
      <c r="T312" s="447">
        <v>0</v>
      </c>
      <c r="U312" s="446">
        <v>0</v>
      </c>
      <c r="V312" s="446"/>
    </row>
    <row r="313" spans="1:22" ht="25.5" customHeight="1">
      <c r="A313" s="445">
        <v>46280</v>
      </c>
      <c r="B313" s="446" t="s">
        <v>18</v>
      </c>
      <c r="C313" s="446" t="s">
        <v>97</v>
      </c>
      <c r="D313" s="446">
        <v>3470</v>
      </c>
      <c r="E313" s="446">
        <v>0</v>
      </c>
      <c r="F313" s="446">
        <v>0</v>
      </c>
      <c r="G313" s="446">
        <v>0</v>
      </c>
      <c r="H313" s="446">
        <v>0</v>
      </c>
      <c r="I313" s="446">
        <v>0</v>
      </c>
      <c r="J313" s="446">
        <v>0</v>
      </c>
      <c r="K313" s="446">
        <v>0</v>
      </c>
      <c r="L313" s="446">
        <v>0</v>
      </c>
      <c r="M313" s="446">
        <v>0</v>
      </c>
      <c r="N313" s="446">
        <v>0</v>
      </c>
      <c r="O313" s="446">
        <v>0</v>
      </c>
      <c r="P313" s="446">
        <v>0</v>
      </c>
      <c r="Q313" s="446">
        <v>0</v>
      </c>
      <c r="R313" s="446">
        <v>0</v>
      </c>
      <c r="S313" s="446">
        <v>0</v>
      </c>
      <c r="T313" s="447">
        <v>0</v>
      </c>
      <c r="U313" s="446">
        <v>440</v>
      </c>
      <c r="V313" s="446"/>
    </row>
    <row r="314" spans="1:22" ht="25.5" customHeight="1">
      <c r="A314" s="445">
        <v>46280</v>
      </c>
      <c r="B314" s="446" t="s">
        <v>18</v>
      </c>
      <c r="C314" s="446" t="s">
        <v>98</v>
      </c>
      <c r="D314" s="446">
        <v>0</v>
      </c>
      <c r="E314" s="446">
        <v>0</v>
      </c>
      <c r="F314" s="446">
        <v>0</v>
      </c>
      <c r="G314" s="446">
        <v>0</v>
      </c>
      <c r="H314" s="446">
        <v>0</v>
      </c>
      <c r="I314" s="446">
        <v>0</v>
      </c>
      <c r="J314" s="446">
        <v>0</v>
      </c>
      <c r="K314" s="446">
        <v>0</v>
      </c>
      <c r="L314" s="446">
        <v>0</v>
      </c>
      <c r="M314" s="446">
        <v>0</v>
      </c>
      <c r="N314" s="446">
        <v>0</v>
      </c>
      <c r="O314" s="446">
        <v>0</v>
      </c>
      <c r="P314" s="446">
        <v>0</v>
      </c>
      <c r="Q314" s="446">
        <v>0</v>
      </c>
      <c r="R314" s="446">
        <v>0</v>
      </c>
      <c r="S314" s="446">
        <v>0</v>
      </c>
      <c r="T314" s="447">
        <v>0</v>
      </c>
      <c r="U314" s="446">
        <v>0</v>
      </c>
      <c r="V314" s="446"/>
    </row>
    <row r="315" spans="1:22" ht="25.5" customHeight="1">
      <c r="A315" s="445">
        <v>46280</v>
      </c>
      <c r="B315" s="446" t="s">
        <v>18</v>
      </c>
      <c r="C315" s="446" t="s">
        <v>110</v>
      </c>
      <c r="D315" s="446">
        <v>1600</v>
      </c>
      <c r="E315" s="446">
        <v>0</v>
      </c>
      <c r="F315" s="446">
        <v>0</v>
      </c>
      <c r="G315" s="446">
        <v>0</v>
      </c>
      <c r="H315" s="446">
        <v>0</v>
      </c>
      <c r="I315" s="446">
        <v>0</v>
      </c>
      <c r="J315" s="446">
        <v>0</v>
      </c>
      <c r="K315" s="446">
        <v>0</v>
      </c>
      <c r="L315" s="446">
        <v>0</v>
      </c>
      <c r="M315" s="446">
        <v>0</v>
      </c>
      <c r="N315" s="446">
        <v>0</v>
      </c>
      <c r="O315" s="446">
        <v>0</v>
      </c>
      <c r="P315" s="446">
        <v>0</v>
      </c>
      <c r="Q315" s="446">
        <v>0</v>
      </c>
      <c r="R315" s="446">
        <v>0</v>
      </c>
      <c r="S315" s="446">
        <v>0</v>
      </c>
      <c r="T315" s="447">
        <v>0</v>
      </c>
      <c r="U315" s="446">
        <v>0</v>
      </c>
      <c r="V315" s="446"/>
    </row>
    <row r="316" spans="1:22" ht="25.5" customHeight="1">
      <c r="A316" s="445">
        <v>46280</v>
      </c>
      <c r="B316" s="446" t="s">
        <v>19</v>
      </c>
      <c r="C316" s="446" t="s">
        <v>99</v>
      </c>
      <c r="D316" s="446">
        <v>2600</v>
      </c>
      <c r="E316" s="446">
        <v>0</v>
      </c>
      <c r="F316" s="446">
        <v>0</v>
      </c>
      <c r="G316" s="446">
        <v>0</v>
      </c>
      <c r="H316" s="446">
        <v>0</v>
      </c>
      <c r="I316" s="446">
        <v>0</v>
      </c>
      <c r="J316" s="446">
        <v>0</v>
      </c>
      <c r="K316" s="446">
        <v>0</v>
      </c>
      <c r="L316" s="446">
        <v>0</v>
      </c>
      <c r="M316" s="446">
        <v>0</v>
      </c>
      <c r="N316" s="446">
        <v>0</v>
      </c>
      <c r="O316" s="446">
        <v>0</v>
      </c>
      <c r="P316" s="446">
        <v>0</v>
      </c>
      <c r="Q316" s="446">
        <v>0</v>
      </c>
      <c r="R316" s="446">
        <v>0</v>
      </c>
      <c r="S316" s="446">
        <v>0</v>
      </c>
      <c r="T316" s="447">
        <v>0</v>
      </c>
      <c r="U316" s="446">
        <v>0</v>
      </c>
      <c r="V316" s="446"/>
    </row>
    <row r="317" spans="1:22" ht="25.5" customHeight="1">
      <c r="A317" s="445">
        <v>46280</v>
      </c>
      <c r="B317" s="446" t="s">
        <v>19</v>
      </c>
      <c r="C317" s="446" t="s">
        <v>88</v>
      </c>
      <c r="D317" s="446">
        <v>1340</v>
      </c>
      <c r="E317" s="446">
        <v>0</v>
      </c>
      <c r="F317" s="446">
        <v>0</v>
      </c>
      <c r="G317" s="446">
        <v>0</v>
      </c>
      <c r="H317" s="446">
        <v>0</v>
      </c>
      <c r="I317" s="446">
        <v>0</v>
      </c>
      <c r="J317" s="446">
        <v>0</v>
      </c>
      <c r="K317" s="446">
        <v>0</v>
      </c>
      <c r="L317" s="446">
        <v>0</v>
      </c>
      <c r="M317" s="446">
        <v>0</v>
      </c>
      <c r="N317" s="446">
        <v>0</v>
      </c>
      <c r="O317" s="446">
        <v>0</v>
      </c>
      <c r="P317" s="446">
        <v>0</v>
      </c>
      <c r="Q317" s="446">
        <v>0</v>
      </c>
      <c r="R317" s="446">
        <v>0</v>
      </c>
      <c r="S317" s="446">
        <v>0</v>
      </c>
      <c r="T317" s="447">
        <v>0</v>
      </c>
      <c r="U317" s="446">
        <v>0</v>
      </c>
      <c r="V317" s="446"/>
    </row>
    <row r="318" spans="1:22" ht="25.5" customHeight="1">
      <c r="A318" s="445">
        <v>46280</v>
      </c>
      <c r="B318" s="446" t="s">
        <v>19</v>
      </c>
      <c r="C318" s="446" t="s">
        <v>107</v>
      </c>
      <c r="D318" s="446">
        <v>0</v>
      </c>
      <c r="E318" s="446">
        <v>0</v>
      </c>
      <c r="F318" s="446">
        <v>0</v>
      </c>
      <c r="G318" s="446">
        <v>0</v>
      </c>
      <c r="H318" s="446">
        <v>0</v>
      </c>
      <c r="I318" s="446">
        <v>0</v>
      </c>
      <c r="J318" s="446">
        <v>0</v>
      </c>
      <c r="K318" s="446">
        <v>0</v>
      </c>
      <c r="L318" s="446">
        <v>0</v>
      </c>
      <c r="M318" s="446">
        <v>0</v>
      </c>
      <c r="N318" s="446">
        <v>0</v>
      </c>
      <c r="O318" s="446">
        <v>0</v>
      </c>
      <c r="P318" s="446">
        <v>0</v>
      </c>
      <c r="Q318" s="446">
        <v>0</v>
      </c>
      <c r="R318" s="446">
        <v>0</v>
      </c>
      <c r="S318" s="446">
        <v>0</v>
      </c>
      <c r="T318" s="447">
        <v>0</v>
      </c>
      <c r="U318" s="446">
        <v>0</v>
      </c>
      <c r="V318" s="446"/>
    </row>
    <row r="319" spans="1:22" ht="25.5" customHeight="1">
      <c r="A319" s="445">
        <v>46280</v>
      </c>
      <c r="B319" s="446" t="s">
        <v>20</v>
      </c>
      <c r="C319" s="446" t="s">
        <v>93</v>
      </c>
      <c r="D319" s="446">
        <v>5881</v>
      </c>
      <c r="E319" s="446">
        <v>0</v>
      </c>
      <c r="F319" s="446">
        <v>0</v>
      </c>
      <c r="G319" s="446">
        <v>0</v>
      </c>
      <c r="H319" s="446">
        <v>0</v>
      </c>
      <c r="I319" s="446">
        <v>0</v>
      </c>
      <c r="J319" s="446">
        <v>0</v>
      </c>
      <c r="K319" s="446">
        <v>0</v>
      </c>
      <c r="L319" s="446">
        <v>0</v>
      </c>
      <c r="M319" s="446">
        <v>0</v>
      </c>
      <c r="N319" s="446">
        <v>0</v>
      </c>
      <c r="O319" s="446">
        <v>0</v>
      </c>
      <c r="P319" s="446">
        <v>0</v>
      </c>
      <c r="Q319" s="446">
        <v>0</v>
      </c>
      <c r="R319" s="446">
        <v>0</v>
      </c>
      <c r="S319" s="446">
        <v>0</v>
      </c>
      <c r="T319" s="447">
        <v>0</v>
      </c>
      <c r="U319" s="446">
        <v>1578</v>
      </c>
      <c r="V319" s="446"/>
    </row>
    <row r="320" spans="1:22" ht="25.5" customHeight="1">
      <c r="A320" s="445">
        <v>46280</v>
      </c>
      <c r="B320" s="446" t="s">
        <v>20</v>
      </c>
      <c r="C320" s="446" t="s">
        <v>105</v>
      </c>
      <c r="D320" s="446">
        <v>0</v>
      </c>
      <c r="E320" s="446">
        <v>0</v>
      </c>
      <c r="F320" s="446">
        <v>0</v>
      </c>
      <c r="G320" s="446">
        <v>0</v>
      </c>
      <c r="H320" s="446">
        <v>0</v>
      </c>
      <c r="I320" s="446">
        <v>0</v>
      </c>
      <c r="J320" s="446">
        <v>0</v>
      </c>
      <c r="K320" s="446">
        <v>0</v>
      </c>
      <c r="L320" s="446">
        <v>0</v>
      </c>
      <c r="M320" s="446">
        <v>0</v>
      </c>
      <c r="N320" s="446">
        <v>0</v>
      </c>
      <c r="O320" s="446">
        <v>0</v>
      </c>
      <c r="P320" s="446">
        <v>0</v>
      </c>
      <c r="Q320" s="446">
        <v>0</v>
      </c>
      <c r="R320" s="446">
        <v>0</v>
      </c>
      <c r="S320" s="446">
        <v>0</v>
      </c>
      <c r="T320" s="447">
        <v>0</v>
      </c>
      <c r="U320" s="446">
        <v>0</v>
      </c>
      <c r="V320" s="446"/>
    </row>
    <row r="321" spans="1:22" ht="25.5" customHeight="1">
      <c r="A321" s="445">
        <v>46280</v>
      </c>
      <c r="B321" s="446" t="s">
        <v>20</v>
      </c>
      <c r="C321" s="446" t="s">
        <v>102</v>
      </c>
      <c r="D321" s="446">
        <v>540</v>
      </c>
      <c r="E321" s="446">
        <v>0</v>
      </c>
      <c r="F321" s="446">
        <v>0</v>
      </c>
      <c r="G321" s="446">
        <v>0</v>
      </c>
      <c r="H321" s="446">
        <v>0</v>
      </c>
      <c r="I321" s="446">
        <v>0</v>
      </c>
      <c r="J321" s="446">
        <v>0</v>
      </c>
      <c r="K321" s="446">
        <v>0</v>
      </c>
      <c r="L321" s="446">
        <v>0</v>
      </c>
      <c r="M321" s="446">
        <v>0</v>
      </c>
      <c r="N321" s="446">
        <v>0</v>
      </c>
      <c r="O321" s="446">
        <v>0</v>
      </c>
      <c r="P321" s="446">
        <v>0</v>
      </c>
      <c r="Q321" s="446">
        <v>0</v>
      </c>
      <c r="R321" s="446">
        <v>0</v>
      </c>
      <c r="S321" s="446">
        <v>0</v>
      </c>
      <c r="T321" s="447">
        <v>0</v>
      </c>
      <c r="U321" s="446">
        <v>50</v>
      </c>
      <c r="V321" s="446"/>
    </row>
    <row r="322" spans="1:22" ht="25.5" customHeight="1">
      <c r="A322" s="445">
        <v>46280</v>
      </c>
      <c r="B322" s="446" t="s">
        <v>20</v>
      </c>
      <c r="C322" s="446" t="s">
        <v>111</v>
      </c>
      <c r="D322" s="446">
        <v>0</v>
      </c>
      <c r="E322" s="446">
        <v>0</v>
      </c>
      <c r="F322" s="446">
        <v>0</v>
      </c>
      <c r="G322" s="446">
        <v>0</v>
      </c>
      <c r="H322" s="446">
        <v>0</v>
      </c>
      <c r="I322" s="446">
        <v>0</v>
      </c>
      <c r="J322" s="446">
        <v>0</v>
      </c>
      <c r="K322" s="446">
        <v>0</v>
      </c>
      <c r="L322" s="446">
        <v>0</v>
      </c>
      <c r="M322" s="446">
        <v>0</v>
      </c>
      <c r="N322" s="446">
        <v>0</v>
      </c>
      <c r="O322" s="446">
        <v>0</v>
      </c>
      <c r="P322" s="446">
        <v>0</v>
      </c>
      <c r="Q322" s="446">
        <v>0</v>
      </c>
      <c r="R322" s="446">
        <v>0</v>
      </c>
      <c r="S322" s="446">
        <v>0</v>
      </c>
      <c r="T322" s="447">
        <v>0</v>
      </c>
      <c r="U322" s="446">
        <v>0</v>
      </c>
      <c r="V322" s="446"/>
    </row>
    <row r="323" spans="1:22" ht="25.5" customHeight="1">
      <c r="A323" s="445">
        <v>46280</v>
      </c>
      <c r="B323" s="446" t="s">
        <v>21</v>
      </c>
      <c r="C323" s="446" t="s">
        <v>90</v>
      </c>
      <c r="D323" s="446">
        <v>0</v>
      </c>
      <c r="E323" s="446">
        <v>0</v>
      </c>
      <c r="F323" s="446">
        <v>0</v>
      </c>
      <c r="G323" s="446">
        <v>0</v>
      </c>
      <c r="H323" s="446">
        <v>0</v>
      </c>
      <c r="I323" s="446">
        <v>0</v>
      </c>
      <c r="J323" s="446">
        <v>0</v>
      </c>
      <c r="K323" s="446">
        <v>0</v>
      </c>
      <c r="L323" s="446">
        <v>0</v>
      </c>
      <c r="M323" s="446">
        <v>0</v>
      </c>
      <c r="N323" s="446">
        <v>0</v>
      </c>
      <c r="O323" s="446">
        <v>0</v>
      </c>
      <c r="P323" s="446">
        <v>0</v>
      </c>
      <c r="Q323" s="446">
        <v>0</v>
      </c>
      <c r="R323" s="446">
        <v>0</v>
      </c>
      <c r="S323" s="446">
        <v>0</v>
      </c>
      <c r="T323" s="447">
        <v>0</v>
      </c>
      <c r="U323" s="446">
        <v>0</v>
      </c>
      <c r="V323" s="446"/>
    </row>
    <row r="324" spans="1:22" ht="25.5" customHeight="1">
      <c r="A324" s="445">
        <v>46280</v>
      </c>
      <c r="B324" s="446" t="s">
        <v>21</v>
      </c>
      <c r="C324" s="446" t="s">
        <v>109</v>
      </c>
      <c r="D324" s="446">
        <v>5098</v>
      </c>
      <c r="E324" s="446">
        <v>0</v>
      </c>
      <c r="F324" s="446">
        <v>0</v>
      </c>
      <c r="G324" s="446">
        <v>0</v>
      </c>
      <c r="H324" s="446">
        <v>0</v>
      </c>
      <c r="I324" s="446">
        <v>0</v>
      </c>
      <c r="J324" s="446">
        <v>0</v>
      </c>
      <c r="K324" s="446">
        <v>0</v>
      </c>
      <c r="L324" s="446">
        <v>0</v>
      </c>
      <c r="M324" s="446">
        <v>0</v>
      </c>
      <c r="N324" s="446">
        <v>0</v>
      </c>
      <c r="O324" s="446">
        <v>0</v>
      </c>
      <c r="P324" s="446">
        <v>0</v>
      </c>
      <c r="Q324" s="446">
        <v>0</v>
      </c>
      <c r="R324" s="446">
        <v>0</v>
      </c>
      <c r="S324" s="446">
        <v>0</v>
      </c>
      <c r="T324" s="447">
        <v>0</v>
      </c>
      <c r="U324" s="446">
        <v>510</v>
      </c>
      <c r="V324" s="446"/>
    </row>
    <row r="325" spans="1:22" ht="25.5" customHeight="1">
      <c r="A325" s="445">
        <v>46280</v>
      </c>
      <c r="B325" s="446" t="s">
        <v>21</v>
      </c>
      <c r="C325" s="446" t="s">
        <v>103</v>
      </c>
      <c r="D325" s="446">
        <v>5965</v>
      </c>
      <c r="E325" s="446">
        <v>0</v>
      </c>
      <c r="F325" s="446">
        <v>0</v>
      </c>
      <c r="G325" s="446">
        <v>0</v>
      </c>
      <c r="H325" s="446">
        <v>0</v>
      </c>
      <c r="I325" s="446">
        <v>0</v>
      </c>
      <c r="J325" s="446">
        <v>0</v>
      </c>
      <c r="K325" s="446">
        <v>0</v>
      </c>
      <c r="L325" s="446">
        <v>0</v>
      </c>
      <c r="M325" s="446">
        <v>0</v>
      </c>
      <c r="N325" s="446">
        <v>0</v>
      </c>
      <c r="O325" s="446">
        <v>0</v>
      </c>
      <c r="P325" s="446">
        <v>0</v>
      </c>
      <c r="Q325" s="446">
        <v>0</v>
      </c>
      <c r="R325" s="446">
        <v>0</v>
      </c>
      <c r="S325" s="446">
        <v>0</v>
      </c>
      <c r="T325" s="447">
        <v>0</v>
      </c>
      <c r="U325" s="446">
        <v>50</v>
      </c>
      <c r="V325" s="446"/>
    </row>
    <row r="326" spans="1:22" ht="25.5" customHeight="1">
      <c r="A326" s="445">
        <v>46280</v>
      </c>
      <c r="B326" s="446" t="s">
        <v>21</v>
      </c>
      <c r="C326" s="446" t="s">
        <v>112</v>
      </c>
      <c r="D326" s="446">
        <v>1650</v>
      </c>
      <c r="E326" s="446">
        <v>0</v>
      </c>
      <c r="F326" s="446">
        <v>0</v>
      </c>
      <c r="G326" s="446">
        <v>0</v>
      </c>
      <c r="H326" s="446">
        <v>0</v>
      </c>
      <c r="I326" s="446">
        <v>0</v>
      </c>
      <c r="J326" s="446">
        <v>0</v>
      </c>
      <c r="K326" s="446">
        <v>0</v>
      </c>
      <c r="L326" s="446">
        <v>0</v>
      </c>
      <c r="M326" s="446">
        <v>0</v>
      </c>
      <c r="N326" s="446">
        <v>0</v>
      </c>
      <c r="O326" s="446">
        <v>0</v>
      </c>
      <c r="P326" s="446">
        <v>0</v>
      </c>
      <c r="Q326" s="446">
        <v>0</v>
      </c>
      <c r="R326" s="446">
        <v>0</v>
      </c>
      <c r="S326" s="446">
        <v>0</v>
      </c>
      <c r="T326" s="447">
        <v>0</v>
      </c>
      <c r="U326" s="446">
        <v>0</v>
      </c>
      <c r="V326" s="446"/>
    </row>
    <row r="327" spans="1:22" ht="25.5" customHeight="1">
      <c r="A327" s="445">
        <v>46281</v>
      </c>
      <c r="B327" s="446" t="s">
        <v>17</v>
      </c>
      <c r="C327" s="446" t="s">
        <v>96</v>
      </c>
      <c r="D327" s="446">
        <v>6460</v>
      </c>
      <c r="E327" s="446">
        <v>0</v>
      </c>
      <c r="F327" s="446">
        <v>0</v>
      </c>
      <c r="G327" s="446">
        <v>0</v>
      </c>
      <c r="H327" s="446">
        <v>0</v>
      </c>
      <c r="I327" s="446">
        <v>0</v>
      </c>
      <c r="J327" s="446">
        <v>0</v>
      </c>
      <c r="K327" s="446">
        <v>0</v>
      </c>
      <c r="L327" s="446">
        <v>0</v>
      </c>
      <c r="M327" s="446">
        <v>0</v>
      </c>
      <c r="N327" s="446">
        <v>0</v>
      </c>
      <c r="O327" s="446">
        <v>0</v>
      </c>
      <c r="P327" s="446">
        <v>0</v>
      </c>
      <c r="Q327" s="446">
        <v>0</v>
      </c>
      <c r="R327" s="446">
        <v>0</v>
      </c>
      <c r="S327" s="446">
        <v>0</v>
      </c>
      <c r="T327" s="447">
        <v>0</v>
      </c>
      <c r="U327" s="446">
        <v>0</v>
      </c>
      <c r="V327" s="446"/>
    </row>
    <row r="328" spans="1:22" ht="25.5" customHeight="1">
      <c r="A328" s="445">
        <v>46281</v>
      </c>
      <c r="B328" s="446" t="s">
        <v>17</v>
      </c>
      <c r="C328" s="446" t="s">
        <v>108</v>
      </c>
      <c r="D328" s="446">
        <v>5228</v>
      </c>
      <c r="E328" s="446">
        <v>0</v>
      </c>
      <c r="F328" s="446">
        <v>0</v>
      </c>
      <c r="G328" s="446">
        <v>0</v>
      </c>
      <c r="H328" s="446">
        <v>0</v>
      </c>
      <c r="I328" s="446">
        <v>0</v>
      </c>
      <c r="J328" s="446">
        <v>0</v>
      </c>
      <c r="K328" s="446">
        <v>0</v>
      </c>
      <c r="L328" s="446">
        <v>0</v>
      </c>
      <c r="M328" s="446">
        <v>0</v>
      </c>
      <c r="N328" s="446">
        <v>0</v>
      </c>
      <c r="O328" s="446">
        <v>0</v>
      </c>
      <c r="P328" s="446">
        <v>0</v>
      </c>
      <c r="Q328" s="446">
        <v>0</v>
      </c>
      <c r="R328" s="446">
        <v>0</v>
      </c>
      <c r="S328" s="446">
        <v>0</v>
      </c>
      <c r="T328" s="447">
        <v>0</v>
      </c>
      <c r="U328" s="446">
        <v>50</v>
      </c>
      <c r="V328" s="446"/>
    </row>
    <row r="329" spans="1:22" ht="25.5" customHeight="1">
      <c r="A329" s="445">
        <v>46281</v>
      </c>
      <c r="B329" s="446" t="s">
        <v>17</v>
      </c>
      <c r="C329" s="446" t="s">
        <v>101</v>
      </c>
      <c r="D329" s="446">
        <v>4604</v>
      </c>
      <c r="E329" s="446">
        <v>0</v>
      </c>
      <c r="F329" s="446">
        <v>0</v>
      </c>
      <c r="G329" s="446">
        <v>0</v>
      </c>
      <c r="H329" s="446">
        <v>0</v>
      </c>
      <c r="I329" s="446">
        <v>0</v>
      </c>
      <c r="J329" s="446">
        <v>0</v>
      </c>
      <c r="K329" s="446">
        <v>0</v>
      </c>
      <c r="L329" s="446">
        <v>0</v>
      </c>
      <c r="M329" s="446">
        <v>0</v>
      </c>
      <c r="N329" s="446">
        <v>0</v>
      </c>
      <c r="O329" s="446">
        <v>0</v>
      </c>
      <c r="P329" s="446">
        <v>0</v>
      </c>
      <c r="Q329" s="446">
        <v>0</v>
      </c>
      <c r="R329" s="446">
        <v>0</v>
      </c>
      <c r="S329" s="446">
        <v>0</v>
      </c>
      <c r="T329" s="447">
        <v>0</v>
      </c>
      <c r="U329" s="446">
        <v>0</v>
      </c>
      <c r="V329" s="446"/>
    </row>
    <row r="330" spans="1:22" ht="25.5" customHeight="1">
      <c r="A330" s="445">
        <v>46281</v>
      </c>
      <c r="B330" s="446" t="s">
        <v>17</v>
      </c>
      <c r="C330" s="446" t="s">
        <v>106</v>
      </c>
      <c r="D330" s="446">
        <v>-68</v>
      </c>
      <c r="E330" s="446">
        <v>0</v>
      </c>
      <c r="F330" s="446">
        <v>0</v>
      </c>
      <c r="G330" s="446">
        <v>0</v>
      </c>
      <c r="H330" s="446">
        <v>0</v>
      </c>
      <c r="I330" s="446">
        <v>0</v>
      </c>
      <c r="J330" s="446">
        <v>0</v>
      </c>
      <c r="K330" s="446">
        <v>0</v>
      </c>
      <c r="L330" s="446">
        <v>0</v>
      </c>
      <c r="M330" s="446">
        <v>0</v>
      </c>
      <c r="N330" s="446">
        <v>0</v>
      </c>
      <c r="O330" s="446">
        <v>0</v>
      </c>
      <c r="P330" s="446">
        <v>0</v>
      </c>
      <c r="Q330" s="446">
        <v>0</v>
      </c>
      <c r="R330" s="446">
        <v>0</v>
      </c>
      <c r="S330" s="446">
        <v>0</v>
      </c>
      <c r="T330" s="447">
        <v>0</v>
      </c>
      <c r="U330" s="446">
        <v>0</v>
      </c>
      <c r="V330" s="446"/>
    </row>
    <row r="331" spans="1:22" ht="25.5" customHeight="1">
      <c r="A331" s="445">
        <v>46281</v>
      </c>
      <c r="B331" s="446" t="s">
        <v>22</v>
      </c>
      <c r="C331" s="446" t="s">
        <v>23</v>
      </c>
      <c r="D331" s="446">
        <v>0</v>
      </c>
      <c r="E331" s="446">
        <v>0</v>
      </c>
      <c r="F331" s="446">
        <v>0</v>
      </c>
      <c r="G331" s="446">
        <v>0</v>
      </c>
      <c r="H331" s="446">
        <v>0</v>
      </c>
      <c r="I331" s="446">
        <v>0</v>
      </c>
      <c r="J331" s="446">
        <v>0</v>
      </c>
      <c r="K331" s="446">
        <v>0</v>
      </c>
      <c r="L331" s="446">
        <v>0</v>
      </c>
      <c r="M331" s="446">
        <v>0</v>
      </c>
      <c r="N331" s="446">
        <v>0</v>
      </c>
      <c r="O331" s="446">
        <v>0</v>
      </c>
      <c r="P331" s="446">
        <v>0</v>
      </c>
      <c r="Q331" s="446">
        <v>0</v>
      </c>
      <c r="R331" s="446">
        <v>0</v>
      </c>
      <c r="S331" s="446">
        <v>0</v>
      </c>
      <c r="T331" s="447">
        <v>0</v>
      </c>
      <c r="U331" s="446">
        <v>0</v>
      </c>
      <c r="V331" s="446"/>
    </row>
    <row r="332" spans="1:22" ht="25.5" customHeight="1">
      <c r="A332" s="445">
        <v>46281</v>
      </c>
      <c r="B332" s="446" t="s">
        <v>18</v>
      </c>
      <c r="C332" s="446" t="s">
        <v>97</v>
      </c>
      <c r="D332" s="446">
        <v>5310</v>
      </c>
      <c r="E332" s="446">
        <v>0</v>
      </c>
      <c r="F332" s="446">
        <v>0</v>
      </c>
      <c r="G332" s="446">
        <v>0</v>
      </c>
      <c r="H332" s="446">
        <v>0</v>
      </c>
      <c r="I332" s="446">
        <v>0</v>
      </c>
      <c r="J332" s="446">
        <v>0</v>
      </c>
      <c r="K332" s="446">
        <v>0</v>
      </c>
      <c r="L332" s="446">
        <v>0</v>
      </c>
      <c r="M332" s="446">
        <v>0</v>
      </c>
      <c r="N332" s="446">
        <v>0</v>
      </c>
      <c r="O332" s="446">
        <v>0</v>
      </c>
      <c r="P332" s="446">
        <v>0</v>
      </c>
      <c r="Q332" s="446">
        <v>0</v>
      </c>
      <c r="R332" s="446">
        <v>0</v>
      </c>
      <c r="S332" s="446">
        <v>0</v>
      </c>
      <c r="T332" s="447">
        <v>0</v>
      </c>
      <c r="U332" s="446">
        <v>330</v>
      </c>
      <c r="V332" s="446"/>
    </row>
    <row r="333" spans="1:22" ht="25.5" customHeight="1">
      <c r="A333" s="445">
        <v>46281</v>
      </c>
      <c r="B333" s="446" t="s">
        <v>18</v>
      </c>
      <c r="C333" s="446" t="s">
        <v>98</v>
      </c>
      <c r="D333" s="446">
        <v>3957</v>
      </c>
      <c r="E333" s="446">
        <v>0</v>
      </c>
      <c r="F333" s="446">
        <v>0</v>
      </c>
      <c r="G333" s="446">
        <v>0</v>
      </c>
      <c r="H333" s="446">
        <v>0</v>
      </c>
      <c r="I333" s="446">
        <v>0</v>
      </c>
      <c r="J333" s="446">
        <v>0</v>
      </c>
      <c r="K333" s="446">
        <v>0</v>
      </c>
      <c r="L333" s="446">
        <v>0</v>
      </c>
      <c r="M333" s="446">
        <v>0</v>
      </c>
      <c r="N333" s="446">
        <v>0</v>
      </c>
      <c r="O333" s="446">
        <v>0</v>
      </c>
      <c r="P333" s="446">
        <v>0</v>
      </c>
      <c r="Q333" s="446">
        <v>0</v>
      </c>
      <c r="R333" s="446">
        <v>0</v>
      </c>
      <c r="S333" s="446">
        <v>0</v>
      </c>
      <c r="T333" s="447">
        <v>0</v>
      </c>
      <c r="U333" s="446">
        <v>2803</v>
      </c>
      <c r="V333" s="446"/>
    </row>
    <row r="334" spans="1:22" ht="25.5" customHeight="1">
      <c r="A334" s="445">
        <v>46281</v>
      </c>
      <c r="B334" s="446" t="s">
        <v>18</v>
      </c>
      <c r="C334" s="446" t="s">
        <v>110</v>
      </c>
      <c r="D334" s="446">
        <v>0</v>
      </c>
      <c r="E334" s="446">
        <v>0</v>
      </c>
      <c r="F334" s="446">
        <v>0</v>
      </c>
      <c r="G334" s="446">
        <v>0</v>
      </c>
      <c r="H334" s="446">
        <v>0</v>
      </c>
      <c r="I334" s="446">
        <v>0</v>
      </c>
      <c r="J334" s="446">
        <v>0</v>
      </c>
      <c r="K334" s="446">
        <v>0</v>
      </c>
      <c r="L334" s="446">
        <v>0</v>
      </c>
      <c r="M334" s="446">
        <v>0</v>
      </c>
      <c r="N334" s="446">
        <v>0</v>
      </c>
      <c r="O334" s="446">
        <v>0</v>
      </c>
      <c r="P334" s="446">
        <v>0</v>
      </c>
      <c r="Q334" s="446">
        <v>0</v>
      </c>
      <c r="R334" s="446">
        <v>0</v>
      </c>
      <c r="S334" s="446">
        <v>0</v>
      </c>
      <c r="T334" s="447">
        <v>0</v>
      </c>
      <c r="U334" s="446">
        <v>0</v>
      </c>
      <c r="V334" s="446"/>
    </row>
    <row r="335" spans="1:22" ht="25.5" customHeight="1">
      <c r="A335" s="445">
        <v>46281</v>
      </c>
      <c r="B335" s="446" t="s">
        <v>19</v>
      </c>
      <c r="C335" s="446" t="s">
        <v>99</v>
      </c>
      <c r="D335" s="446">
        <v>0</v>
      </c>
      <c r="E335" s="446">
        <v>0</v>
      </c>
      <c r="F335" s="446">
        <v>0</v>
      </c>
      <c r="G335" s="446">
        <v>0</v>
      </c>
      <c r="H335" s="446">
        <v>0</v>
      </c>
      <c r="I335" s="446">
        <v>0</v>
      </c>
      <c r="J335" s="446">
        <v>0</v>
      </c>
      <c r="K335" s="446">
        <v>0</v>
      </c>
      <c r="L335" s="446">
        <v>0</v>
      </c>
      <c r="M335" s="446">
        <v>0</v>
      </c>
      <c r="N335" s="446">
        <v>0</v>
      </c>
      <c r="O335" s="446">
        <v>0</v>
      </c>
      <c r="P335" s="446">
        <v>0</v>
      </c>
      <c r="Q335" s="446">
        <v>0</v>
      </c>
      <c r="R335" s="446">
        <v>0</v>
      </c>
      <c r="S335" s="446">
        <v>0</v>
      </c>
      <c r="T335" s="447">
        <v>0</v>
      </c>
      <c r="U335" s="446">
        <v>0</v>
      </c>
      <c r="V335" s="446"/>
    </row>
    <row r="336" spans="1:22" ht="25.5" customHeight="1">
      <c r="A336" s="445">
        <v>46281</v>
      </c>
      <c r="B336" s="446" t="s">
        <v>19</v>
      </c>
      <c r="C336" s="446" t="s">
        <v>88</v>
      </c>
      <c r="D336" s="446">
        <v>2420</v>
      </c>
      <c r="E336" s="446">
        <v>0</v>
      </c>
      <c r="F336" s="446">
        <v>0</v>
      </c>
      <c r="G336" s="446">
        <v>0</v>
      </c>
      <c r="H336" s="446">
        <v>0</v>
      </c>
      <c r="I336" s="446">
        <v>0</v>
      </c>
      <c r="J336" s="446">
        <v>0</v>
      </c>
      <c r="K336" s="446">
        <v>0</v>
      </c>
      <c r="L336" s="446">
        <v>0</v>
      </c>
      <c r="M336" s="446">
        <v>0</v>
      </c>
      <c r="N336" s="446">
        <v>0</v>
      </c>
      <c r="O336" s="446">
        <v>0</v>
      </c>
      <c r="P336" s="446">
        <v>0</v>
      </c>
      <c r="Q336" s="446">
        <v>0</v>
      </c>
      <c r="R336" s="446">
        <v>0</v>
      </c>
      <c r="S336" s="446">
        <v>0</v>
      </c>
      <c r="T336" s="447">
        <v>0</v>
      </c>
      <c r="U336" s="446">
        <v>1169.8</v>
      </c>
      <c r="V336" s="446"/>
    </row>
    <row r="337" spans="1:22" ht="25.5" customHeight="1">
      <c r="A337" s="445">
        <v>46281</v>
      </c>
      <c r="B337" s="446" t="s">
        <v>19</v>
      </c>
      <c r="C337" s="446" t="s">
        <v>107</v>
      </c>
      <c r="D337" s="446">
        <v>3000</v>
      </c>
      <c r="E337" s="446">
        <v>0</v>
      </c>
      <c r="F337" s="446">
        <v>0</v>
      </c>
      <c r="G337" s="446">
        <v>0</v>
      </c>
      <c r="H337" s="446">
        <v>0</v>
      </c>
      <c r="I337" s="446">
        <v>0</v>
      </c>
      <c r="J337" s="446">
        <v>0</v>
      </c>
      <c r="K337" s="446">
        <v>0</v>
      </c>
      <c r="L337" s="446">
        <v>0</v>
      </c>
      <c r="M337" s="446">
        <v>0</v>
      </c>
      <c r="N337" s="446">
        <v>0</v>
      </c>
      <c r="O337" s="446">
        <v>0</v>
      </c>
      <c r="P337" s="446">
        <v>0</v>
      </c>
      <c r="Q337" s="446">
        <v>0</v>
      </c>
      <c r="R337" s="446">
        <v>0</v>
      </c>
      <c r="S337" s="446">
        <v>0</v>
      </c>
      <c r="T337" s="447">
        <v>0</v>
      </c>
      <c r="U337" s="446">
        <v>0</v>
      </c>
      <c r="V337" s="446"/>
    </row>
    <row r="338" spans="1:22" ht="25.5" customHeight="1">
      <c r="A338" s="445">
        <v>46281</v>
      </c>
      <c r="B338" s="446" t="s">
        <v>20</v>
      </c>
      <c r="C338" s="446" t="s">
        <v>93</v>
      </c>
      <c r="D338" s="446">
        <v>0</v>
      </c>
      <c r="E338" s="446">
        <v>0</v>
      </c>
      <c r="F338" s="446">
        <v>0</v>
      </c>
      <c r="G338" s="446">
        <v>0</v>
      </c>
      <c r="H338" s="446">
        <v>0</v>
      </c>
      <c r="I338" s="446">
        <v>0</v>
      </c>
      <c r="J338" s="446">
        <v>0</v>
      </c>
      <c r="K338" s="446">
        <v>0</v>
      </c>
      <c r="L338" s="446">
        <v>0</v>
      </c>
      <c r="M338" s="446">
        <v>0</v>
      </c>
      <c r="N338" s="446">
        <v>0</v>
      </c>
      <c r="O338" s="446">
        <v>0</v>
      </c>
      <c r="P338" s="446">
        <v>0</v>
      </c>
      <c r="Q338" s="446">
        <v>0</v>
      </c>
      <c r="R338" s="446">
        <v>0</v>
      </c>
      <c r="S338" s="446">
        <v>0</v>
      </c>
      <c r="T338" s="447">
        <v>0</v>
      </c>
      <c r="U338" s="446">
        <v>0</v>
      </c>
      <c r="V338" s="446"/>
    </row>
    <row r="339" spans="1:22" ht="25.5" customHeight="1">
      <c r="A339" s="445">
        <v>46281</v>
      </c>
      <c r="B339" s="446" t="s">
        <v>20</v>
      </c>
      <c r="C339" s="446" t="s">
        <v>105</v>
      </c>
      <c r="D339" s="446">
        <v>2500</v>
      </c>
      <c r="E339" s="446">
        <v>0</v>
      </c>
      <c r="F339" s="446">
        <v>0</v>
      </c>
      <c r="G339" s="446">
        <v>0</v>
      </c>
      <c r="H339" s="446">
        <v>0</v>
      </c>
      <c r="I339" s="446">
        <v>0</v>
      </c>
      <c r="J339" s="446">
        <v>0</v>
      </c>
      <c r="K339" s="446">
        <v>0</v>
      </c>
      <c r="L339" s="446">
        <v>0</v>
      </c>
      <c r="M339" s="446">
        <v>0</v>
      </c>
      <c r="N339" s="446">
        <v>0</v>
      </c>
      <c r="O339" s="446">
        <v>0</v>
      </c>
      <c r="P339" s="446">
        <v>0</v>
      </c>
      <c r="Q339" s="446">
        <v>0</v>
      </c>
      <c r="R339" s="446">
        <v>0</v>
      </c>
      <c r="S339" s="446">
        <v>0</v>
      </c>
      <c r="T339" s="447">
        <v>0</v>
      </c>
      <c r="U339" s="446">
        <v>0</v>
      </c>
      <c r="V339" s="446"/>
    </row>
    <row r="340" spans="1:22" ht="25.5" customHeight="1">
      <c r="A340" s="445">
        <v>46281</v>
      </c>
      <c r="B340" s="446" t="s">
        <v>20</v>
      </c>
      <c r="C340" s="446" t="s">
        <v>102</v>
      </c>
      <c r="D340" s="446">
        <v>1147</v>
      </c>
      <c r="E340" s="446">
        <v>0</v>
      </c>
      <c r="F340" s="446">
        <v>0</v>
      </c>
      <c r="G340" s="446">
        <v>0</v>
      </c>
      <c r="H340" s="446">
        <v>0</v>
      </c>
      <c r="I340" s="446">
        <v>0</v>
      </c>
      <c r="J340" s="446">
        <v>0</v>
      </c>
      <c r="K340" s="446">
        <v>0</v>
      </c>
      <c r="L340" s="446">
        <v>0</v>
      </c>
      <c r="M340" s="446">
        <v>0</v>
      </c>
      <c r="N340" s="446">
        <v>0</v>
      </c>
      <c r="O340" s="446">
        <v>0</v>
      </c>
      <c r="P340" s="446">
        <v>0</v>
      </c>
      <c r="Q340" s="446">
        <v>0</v>
      </c>
      <c r="R340" s="446">
        <v>0</v>
      </c>
      <c r="S340" s="446">
        <v>0</v>
      </c>
      <c r="T340" s="447">
        <v>0</v>
      </c>
      <c r="U340" s="446">
        <v>932.73</v>
      </c>
      <c r="V340" s="446"/>
    </row>
    <row r="341" spans="1:22" ht="25.5" customHeight="1">
      <c r="A341" s="445">
        <v>46281</v>
      </c>
      <c r="B341" s="446" t="s">
        <v>20</v>
      </c>
      <c r="C341" s="446" t="s">
        <v>111</v>
      </c>
      <c r="D341" s="446">
        <v>0</v>
      </c>
      <c r="E341" s="446">
        <v>0</v>
      </c>
      <c r="F341" s="446">
        <v>0</v>
      </c>
      <c r="G341" s="446">
        <v>0</v>
      </c>
      <c r="H341" s="446">
        <v>0</v>
      </c>
      <c r="I341" s="446">
        <v>0</v>
      </c>
      <c r="J341" s="446">
        <v>0</v>
      </c>
      <c r="K341" s="446">
        <v>0</v>
      </c>
      <c r="L341" s="446">
        <v>0</v>
      </c>
      <c r="M341" s="446">
        <v>0</v>
      </c>
      <c r="N341" s="446">
        <v>0</v>
      </c>
      <c r="O341" s="446">
        <v>0</v>
      </c>
      <c r="P341" s="446">
        <v>0</v>
      </c>
      <c r="Q341" s="446">
        <v>0</v>
      </c>
      <c r="R341" s="446">
        <v>0</v>
      </c>
      <c r="S341" s="446">
        <v>0</v>
      </c>
      <c r="T341" s="447">
        <v>0</v>
      </c>
      <c r="U341" s="446">
        <v>0</v>
      </c>
      <c r="V341" s="446"/>
    </row>
    <row r="342" spans="1:22" ht="25.5" customHeight="1">
      <c r="A342" s="445">
        <v>46281</v>
      </c>
      <c r="B342" s="446" t="s">
        <v>21</v>
      </c>
      <c r="C342" s="446" t="s">
        <v>90</v>
      </c>
      <c r="D342" s="446">
        <v>0</v>
      </c>
      <c r="E342" s="446">
        <v>0</v>
      </c>
      <c r="F342" s="446">
        <v>0</v>
      </c>
      <c r="G342" s="446">
        <v>0</v>
      </c>
      <c r="H342" s="446">
        <v>0</v>
      </c>
      <c r="I342" s="446">
        <v>0</v>
      </c>
      <c r="J342" s="446">
        <v>0</v>
      </c>
      <c r="K342" s="446">
        <v>0</v>
      </c>
      <c r="L342" s="446">
        <v>0</v>
      </c>
      <c r="M342" s="446">
        <v>0</v>
      </c>
      <c r="N342" s="446">
        <v>0</v>
      </c>
      <c r="O342" s="446">
        <v>0</v>
      </c>
      <c r="P342" s="446">
        <v>0</v>
      </c>
      <c r="Q342" s="446">
        <v>0</v>
      </c>
      <c r="R342" s="446">
        <v>0</v>
      </c>
      <c r="S342" s="446">
        <v>0</v>
      </c>
      <c r="T342" s="447">
        <v>0</v>
      </c>
      <c r="U342" s="446">
        <v>0</v>
      </c>
      <c r="V342" s="446"/>
    </row>
    <row r="343" spans="1:22" ht="25.5" customHeight="1">
      <c r="A343" s="445">
        <v>46281</v>
      </c>
      <c r="B343" s="446" t="s">
        <v>21</v>
      </c>
      <c r="C343" s="446" t="s">
        <v>109</v>
      </c>
      <c r="D343" s="446">
        <v>300</v>
      </c>
      <c r="E343" s="446">
        <v>0</v>
      </c>
      <c r="F343" s="446">
        <v>0</v>
      </c>
      <c r="G343" s="446">
        <v>0</v>
      </c>
      <c r="H343" s="446">
        <v>0</v>
      </c>
      <c r="I343" s="446">
        <v>0</v>
      </c>
      <c r="J343" s="446">
        <v>0</v>
      </c>
      <c r="K343" s="446">
        <v>0</v>
      </c>
      <c r="L343" s="446">
        <v>0</v>
      </c>
      <c r="M343" s="446">
        <v>0</v>
      </c>
      <c r="N343" s="446">
        <v>0</v>
      </c>
      <c r="O343" s="446">
        <v>0</v>
      </c>
      <c r="P343" s="446">
        <v>0</v>
      </c>
      <c r="Q343" s="446">
        <v>0</v>
      </c>
      <c r="R343" s="446">
        <v>0</v>
      </c>
      <c r="S343" s="446">
        <v>0</v>
      </c>
      <c r="T343" s="447">
        <v>0</v>
      </c>
      <c r="U343" s="446">
        <v>0</v>
      </c>
      <c r="V343" s="446"/>
    </row>
    <row r="344" spans="1:22" ht="25.5" customHeight="1">
      <c r="A344" s="445">
        <v>46281</v>
      </c>
      <c r="B344" s="446" t="s">
        <v>21</v>
      </c>
      <c r="C344" s="446" t="s">
        <v>103</v>
      </c>
      <c r="D344" s="446">
        <v>2336</v>
      </c>
      <c r="E344" s="446">
        <v>0</v>
      </c>
      <c r="F344" s="446">
        <v>0</v>
      </c>
      <c r="G344" s="446">
        <v>0</v>
      </c>
      <c r="H344" s="446">
        <v>0</v>
      </c>
      <c r="I344" s="446">
        <v>0</v>
      </c>
      <c r="J344" s="446">
        <v>0</v>
      </c>
      <c r="K344" s="446">
        <v>0</v>
      </c>
      <c r="L344" s="446">
        <v>0</v>
      </c>
      <c r="M344" s="446">
        <v>0</v>
      </c>
      <c r="N344" s="446">
        <v>0</v>
      </c>
      <c r="O344" s="446">
        <v>0</v>
      </c>
      <c r="P344" s="446">
        <v>0</v>
      </c>
      <c r="Q344" s="446">
        <v>0</v>
      </c>
      <c r="R344" s="446">
        <v>0</v>
      </c>
      <c r="S344" s="446">
        <v>0</v>
      </c>
      <c r="T344" s="447">
        <v>0</v>
      </c>
      <c r="U344" s="446">
        <v>313</v>
      </c>
      <c r="V344" s="446"/>
    </row>
    <row r="345" spans="1:22" ht="25.5" customHeight="1">
      <c r="A345" s="445">
        <v>46281</v>
      </c>
      <c r="B345" s="446" t="s">
        <v>21</v>
      </c>
      <c r="C345" s="446" t="s">
        <v>112</v>
      </c>
      <c r="D345" s="446">
        <v>2365</v>
      </c>
      <c r="E345" s="446">
        <v>0</v>
      </c>
      <c r="F345" s="446">
        <v>0</v>
      </c>
      <c r="G345" s="446">
        <v>0</v>
      </c>
      <c r="H345" s="446">
        <v>0</v>
      </c>
      <c r="I345" s="446">
        <v>0</v>
      </c>
      <c r="J345" s="446">
        <v>0</v>
      </c>
      <c r="K345" s="446">
        <v>0</v>
      </c>
      <c r="L345" s="446">
        <v>0</v>
      </c>
      <c r="M345" s="446">
        <v>0</v>
      </c>
      <c r="N345" s="446">
        <v>0</v>
      </c>
      <c r="O345" s="446">
        <v>0</v>
      </c>
      <c r="P345" s="446">
        <v>0</v>
      </c>
      <c r="Q345" s="446">
        <v>0</v>
      </c>
      <c r="R345" s="446">
        <v>0</v>
      </c>
      <c r="S345" s="446">
        <v>0</v>
      </c>
      <c r="T345" s="447">
        <v>0</v>
      </c>
      <c r="U345" s="446">
        <v>0</v>
      </c>
      <c r="V345" s="446"/>
    </row>
    <row r="346" spans="1:22" ht="25.5" customHeight="1">
      <c r="A346" s="445">
        <v>46282</v>
      </c>
      <c r="B346" s="446" t="s">
        <v>17</v>
      </c>
      <c r="C346" s="446" t="s">
        <v>96</v>
      </c>
      <c r="D346" s="446">
        <v>0</v>
      </c>
      <c r="E346" s="446">
        <v>0</v>
      </c>
      <c r="F346" s="446">
        <v>0</v>
      </c>
      <c r="G346" s="446">
        <v>0</v>
      </c>
      <c r="H346" s="446">
        <v>0</v>
      </c>
      <c r="I346" s="446">
        <v>0</v>
      </c>
      <c r="J346" s="446">
        <v>0</v>
      </c>
      <c r="K346" s="446">
        <v>0</v>
      </c>
      <c r="L346" s="446">
        <v>0</v>
      </c>
      <c r="M346" s="446">
        <v>0</v>
      </c>
      <c r="N346" s="446">
        <v>0</v>
      </c>
      <c r="O346" s="446">
        <v>0</v>
      </c>
      <c r="P346" s="446">
        <v>0</v>
      </c>
      <c r="Q346" s="446">
        <v>0</v>
      </c>
      <c r="R346" s="446">
        <v>0</v>
      </c>
      <c r="S346" s="446">
        <v>0</v>
      </c>
      <c r="T346" s="447">
        <v>0</v>
      </c>
      <c r="U346" s="446">
        <v>0</v>
      </c>
      <c r="V346" s="446"/>
    </row>
    <row r="347" spans="1:22" ht="25.5" customHeight="1">
      <c r="A347" s="445">
        <v>46282</v>
      </c>
      <c r="B347" s="446" t="s">
        <v>17</v>
      </c>
      <c r="C347" s="446" t="s">
        <v>108</v>
      </c>
      <c r="D347" s="446">
        <v>500</v>
      </c>
      <c r="E347" s="446">
        <v>0</v>
      </c>
      <c r="F347" s="446">
        <v>0</v>
      </c>
      <c r="G347" s="446">
        <v>0</v>
      </c>
      <c r="H347" s="446">
        <v>0</v>
      </c>
      <c r="I347" s="446">
        <v>0</v>
      </c>
      <c r="J347" s="446">
        <v>0</v>
      </c>
      <c r="K347" s="446">
        <v>0</v>
      </c>
      <c r="L347" s="446">
        <v>0</v>
      </c>
      <c r="M347" s="446">
        <v>0</v>
      </c>
      <c r="N347" s="446">
        <v>0</v>
      </c>
      <c r="O347" s="446">
        <v>0</v>
      </c>
      <c r="P347" s="446">
        <v>0</v>
      </c>
      <c r="Q347" s="446">
        <v>0</v>
      </c>
      <c r="R347" s="446">
        <v>0</v>
      </c>
      <c r="S347" s="446">
        <v>0</v>
      </c>
      <c r="T347" s="447">
        <v>0</v>
      </c>
      <c r="U347" s="446">
        <v>0</v>
      </c>
      <c r="V347" s="446"/>
    </row>
    <row r="348" spans="1:22" ht="25.5" customHeight="1">
      <c r="A348" s="445">
        <v>46282</v>
      </c>
      <c r="B348" s="446" t="s">
        <v>17</v>
      </c>
      <c r="C348" s="446" t="s">
        <v>101</v>
      </c>
      <c r="D348" s="446">
        <v>0</v>
      </c>
      <c r="E348" s="446">
        <v>0</v>
      </c>
      <c r="F348" s="446">
        <v>0</v>
      </c>
      <c r="G348" s="446">
        <v>0</v>
      </c>
      <c r="H348" s="446">
        <v>0</v>
      </c>
      <c r="I348" s="446">
        <v>0</v>
      </c>
      <c r="J348" s="446">
        <v>0</v>
      </c>
      <c r="K348" s="446">
        <v>0</v>
      </c>
      <c r="L348" s="446">
        <v>0</v>
      </c>
      <c r="M348" s="446">
        <v>0</v>
      </c>
      <c r="N348" s="446">
        <v>0</v>
      </c>
      <c r="O348" s="446">
        <v>0</v>
      </c>
      <c r="P348" s="446">
        <v>0</v>
      </c>
      <c r="Q348" s="446">
        <v>0</v>
      </c>
      <c r="R348" s="446">
        <v>0</v>
      </c>
      <c r="S348" s="446">
        <v>0</v>
      </c>
      <c r="T348" s="447">
        <v>0</v>
      </c>
      <c r="U348" s="446">
        <v>0</v>
      </c>
      <c r="V348" s="446"/>
    </row>
    <row r="349" spans="1:22" ht="25.5" customHeight="1">
      <c r="A349" s="445">
        <v>46282</v>
      </c>
      <c r="B349" s="446" t="s">
        <v>17</v>
      </c>
      <c r="C349" s="446" t="s">
        <v>106</v>
      </c>
      <c r="D349" s="446">
        <v>4237.6000000000004</v>
      </c>
      <c r="E349" s="446">
        <v>0</v>
      </c>
      <c r="F349" s="446">
        <v>0</v>
      </c>
      <c r="G349" s="446">
        <v>0</v>
      </c>
      <c r="H349" s="446">
        <v>0</v>
      </c>
      <c r="I349" s="446">
        <v>0</v>
      </c>
      <c r="J349" s="446">
        <v>0</v>
      </c>
      <c r="K349" s="446">
        <v>0</v>
      </c>
      <c r="L349" s="446">
        <v>0</v>
      </c>
      <c r="M349" s="446">
        <v>0</v>
      </c>
      <c r="N349" s="446">
        <v>0</v>
      </c>
      <c r="O349" s="446">
        <v>0</v>
      </c>
      <c r="P349" s="446">
        <v>0</v>
      </c>
      <c r="Q349" s="446">
        <v>0</v>
      </c>
      <c r="R349" s="446">
        <v>0</v>
      </c>
      <c r="S349" s="446">
        <v>0</v>
      </c>
      <c r="T349" s="447">
        <v>0</v>
      </c>
      <c r="U349" s="446">
        <v>1911</v>
      </c>
      <c r="V349" s="446"/>
    </row>
    <row r="350" spans="1:22" ht="25.5" customHeight="1">
      <c r="A350" s="445">
        <v>46282</v>
      </c>
      <c r="B350" s="446" t="s">
        <v>22</v>
      </c>
      <c r="C350" s="446" t="s">
        <v>23</v>
      </c>
      <c r="D350" s="446">
        <v>9957.4</v>
      </c>
      <c r="E350" s="446">
        <v>0</v>
      </c>
      <c r="F350" s="446">
        <v>0</v>
      </c>
      <c r="G350" s="446">
        <v>0</v>
      </c>
      <c r="H350" s="446">
        <v>0</v>
      </c>
      <c r="I350" s="446">
        <v>0</v>
      </c>
      <c r="J350" s="446">
        <v>0</v>
      </c>
      <c r="K350" s="446">
        <v>0</v>
      </c>
      <c r="L350" s="446">
        <v>0</v>
      </c>
      <c r="M350" s="446">
        <v>0</v>
      </c>
      <c r="N350" s="446">
        <v>0</v>
      </c>
      <c r="O350" s="446">
        <v>0</v>
      </c>
      <c r="P350" s="446">
        <v>0</v>
      </c>
      <c r="Q350" s="446">
        <v>0</v>
      </c>
      <c r="R350" s="446">
        <v>0</v>
      </c>
      <c r="S350" s="446">
        <v>0</v>
      </c>
      <c r="T350" s="447">
        <v>0</v>
      </c>
      <c r="U350" s="446">
        <v>847</v>
      </c>
      <c r="V350" s="446"/>
    </row>
    <row r="351" spans="1:22" ht="25.5" customHeight="1">
      <c r="A351" s="445">
        <v>46282</v>
      </c>
      <c r="B351" s="446" t="s">
        <v>18</v>
      </c>
      <c r="C351" s="446" t="s">
        <v>97</v>
      </c>
      <c r="D351" s="446">
        <v>0</v>
      </c>
      <c r="E351" s="446">
        <v>0</v>
      </c>
      <c r="F351" s="446">
        <v>0</v>
      </c>
      <c r="G351" s="446">
        <v>0</v>
      </c>
      <c r="H351" s="446">
        <v>0</v>
      </c>
      <c r="I351" s="446">
        <v>0</v>
      </c>
      <c r="J351" s="446">
        <v>0</v>
      </c>
      <c r="K351" s="446">
        <v>0</v>
      </c>
      <c r="L351" s="446">
        <v>0</v>
      </c>
      <c r="M351" s="446">
        <v>0</v>
      </c>
      <c r="N351" s="446">
        <v>0</v>
      </c>
      <c r="O351" s="446">
        <v>0</v>
      </c>
      <c r="P351" s="446">
        <v>0</v>
      </c>
      <c r="Q351" s="446">
        <v>0</v>
      </c>
      <c r="R351" s="446">
        <v>0</v>
      </c>
      <c r="S351" s="446">
        <v>0</v>
      </c>
      <c r="T351" s="447">
        <v>0</v>
      </c>
      <c r="U351" s="446">
        <v>0</v>
      </c>
      <c r="V351" s="446"/>
    </row>
    <row r="352" spans="1:22" ht="25.5" customHeight="1">
      <c r="A352" s="445">
        <v>46282</v>
      </c>
      <c r="B352" s="446" t="s">
        <v>18</v>
      </c>
      <c r="C352" s="446" t="s">
        <v>98</v>
      </c>
      <c r="D352" s="446">
        <v>7480</v>
      </c>
      <c r="E352" s="446">
        <v>0</v>
      </c>
      <c r="F352" s="446">
        <v>0</v>
      </c>
      <c r="G352" s="446">
        <v>0</v>
      </c>
      <c r="H352" s="446">
        <v>0</v>
      </c>
      <c r="I352" s="446">
        <v>0</v>
      </c>
      <c r="J352" s="446">
        <v>0</v>
      </c>
      <c r="K352" s="446">
        <v>0</v>
      </c>
      <c r="L352" s="446">
        <v>0</v>
      </c>
      <c r="M352" s="446">
        <v>0</v>
      </c>
      <c r="N352" s="446">
        <v>0</v>
      </c>
      <c r="O352" s="446">
        <v>0</v>
      </c>
      <c r="P352" s="446">
        <v>0</v>
      </c>
      <c r="Q352" s="446">
        <v>0</v>
      </c>
      <c r="R352" s="446">
        <v>0</v>
      </c>
      <c r="S352" s="446">
        <v>0</v>
      </c>
      <c r="T352" s="447">
        <v>0</v>
      </c>
      <c r="U352" s="446">
        <v>50</v>
      </c>
      <c r="V352" s="446"/>
    </row>
    <row r="353" spans="1:22" ht="25.5" customHeight="1">
      <c r="A353" s="445">
        <v>46282</v>
      </c>
      <c r="B353" s="446" t="s">
        <v>18</v>
      </c>
      <c r="C353" s="446" t="s">
        <v>110</v>
      </c>
      <c r="D353" s="446">
        <v>1150</v>
      </c>
      <c r="E353" s="446">
        <v>0</v>
      </c>
      <c r="F353" s="446">
        <v>0</v>
      </c>
      <c r="G353" s="446">
        <v>0</v>
      </c>
      <c r="H353" s="446">
        <v>0</v>
      </c>
      <c r="I353" s="446">
        <v>0</v>
      </c>
      <c r="J353" s="446">
        <v>0</v>
      </c>
      <c r="K353" s="446">
        <v>0</v>
      </c>
      <c r="L353" s="446">
        <v>0</v>
      </c>
      <c r="M353" s="446">
        <v>0</v>
      </c>
      <c r="N353" s="446">
        <v>0</v>
      </c>
      <c r="O353" s="446">
        <v>0</v>
      </c>
      <c r="P353" s="446">
        <v>0</v>
      </c>
      <c r="Q353" s="446">
        <v>0</v>
      </c>
      <c r="R353" s="446">
        <v>0</v>
      </c>
      <c r="S353" s="446">
        <v>0</v>
      </c>
      <c r="T353" s="447">
        <v>0</v>
      </c>
      <c r="U353" s="446">
        <v>0</v>
      </c>
      <c r="V353" s="446"/>
    </row>
    <row r="354" spans="1:22" ht="25.5" customHeight="1">
      <c r="A354" s="445">
        <v>46282</v>
      </c>
      <c r="B354" s="446" t="s">
        <v>19</v>
      </c>
      <c r="C354" s="446" t="s">
        <v>99</v>
      </c>
      <c r="D354" s="59">
        <v>2208</v>
      </c>
      <c r="E354" s="59">
        <v>0</v>
      </c>
      <c r="F354" s="59">
        <v>0</v>
      </c>
      <c r="G354" s="59">
        <v>0</v>
      </c>
      <c r="H354" s="59">
        <v>0</v>
      </c>
      <c r="I354" s="59">
        <v>0</v>
      </c>
      <c r="J354" s="59">
        <v>0</v>
      </c>
      <c r="K354" s="59">
        <v>0</v>
      </c>
      <c r="L354" s="59">
        <v>0</v>
      </c>
      <c r="M354" s="59">
        <v>0</v>
      </c>
      <c r="N354" s="59">
        <v>0</v>
      </c>
      <c r="O354" s="59">
        <v>0</v>
      </c>
      <c r="P354" s="59">
        <v>0</v>
      </c>
      <c r="Q354" s="59">
        <v>0</v>
      </c>
      <c r="R354" s="59">
        <v>0</v>
      </c>
      <c r="S354" s="59">
        <v>0</v>
      </c>
      <c r="T354" s="450">
        <v>0</v>
      </c>
      <c r="U354" s="59">
        <v>792</v>
      </c>
      <c r="V354" s="59"/>
    </row>
    <row r="355" spans="1:22" ht="25.5" customHeight="1">
      <c r="A355" s="445">
        <v>46282</v>
      </c>
      <c r="B355" s="446" t="s">
        <v>19</v>
      </c>
      <c r="C355" s="446" t="s">
        <v>88</v>
      </c>
      <c r="D355" s="59">
        <v>96</v>
      </c>
      <c r="E355" s="59">
        <v>0</v>
      </c>
      <c r="F355" s="59">
        <v>0</v>
      </c>
      <c r="G355" s="59">
        <v>0</v>
      </c>
      <c r="H355" s="59">
        <v>0</v>
      </c>
      <c r="I355" s="59">
        <v>0</v>
      </c>
      <c r="J355" s="59">
        <v>0</v>
      </c>
      <c r="K355" s="59">
        <v>0</v>
      </c>
      <c r="L355" s="59">
        <v>0</v>
      </c>
      <c r="M355" s="59">
        <v>0</v>
      </c>
      <c r="N355" s="59">
        <v>0</v>
      </c>
      <c r="O355" s="59">
        <v>0</v>
      </c>
      <c r="P355" s="59">
        <v>0</v>
      </c>
      <c r="Q355" s="59">
        <v>0</v>
      </c>
      <c r="R355" s="59">
        <v>0</v>
      </c>
      <c r="S355" s="59">
        <v>0</v>
      </c>
      <c r="T355" s="450">
        <v>0</v>
      </c>
      <c r="U355" s="59">
        <v>694</v>
      </c>
      <c r="V355" s="59"/>
    </row>
    <row r="356" spans="1:22" ht="25.5" customHeight="1">
      <c r="A356" s="445">
        <v>46282</v>
      </c>
      <c r="B356" s="446" t="s">
        <v>19</v>
      </c>
      <c r="C356" s="446" t="s">
        <v>107</v>
      </c>
      <c r="D356" s="59">
        <v>2750</v>
      </c>
      <c r="E356" s="59">
        <v>0</v>
      </c>
      <c r="F356" s="59">
        <v>0</v>
      </c>
      <c r="G356" s="59">
        <v>0</v>
      </c>
      <c r="H356" s="59">
        <v>0</v>
      </c>
      <c r="I356" s="59">
        <v>0</v>
      </c>
      <c r="J356" s="59">
        <v>0</v>
      </c>
      <c r="K356" s="59">
        <v>0</v>
      </c>
      <c r="L356" s="59">
        <v>0</v>
      </c>
      <c r="M356" s="59">
        <v>0</v>
      </c>
      <c r="N356" s="59">
        <v>0</v>
      </c>
      <c r="O356" s="59">
        <v>0</v>
      </c>
      <c r="P356" s="59">
        <v>0</v>
      </c>
      <c r="Q356" s="59">
        <v>0</v>
      </c>
      <c r="R356" s="59">
        <v>0</v>
      </c>
      <c r="S356" s="59">
        <v>0</v>
      </c>
      <c r="T356" s="450">
        <v>0</v>
      </c>
      <c r="U356" s="59">
        <v>0</v>
      </c>
      <c r="V356" s="59"/>
    </row>
    <row r="357" spans="1:22" ht="25.5" customHeight="1">
      <c r="A357" s="445">
        <v>46282</v>
      </c>
      <c r="B357" s="446" t="s">
        <v>20</v>
      </c>
      <c r="C357" s="446" t="s">
        <v>93</v>
      </c>
      <c r="D357" s="59">
        <v>0</v>
      </c>
      <c r="E357" s="59">
        <v>0</v>
      </c>
      <c r="F357" s="59">
        <v>0</v>
      </c>
      <c r="G357" s="59">
        <v>0</v>
      </c>
      <c r="H357" s="59">
        <v>0</v>
      </c>
      <c r="I357" s="59">
        <v>0</v>
      </c>
      <c r="J357" s="59">
        <v>0</v>
      </c>
      <c r="K357" s="59">
        <v>0</v>
      </c>
      <c r="L357" s="59">
        <v>0</v>
      </c>
      <c r="M357" s="59">
        <v>0</v>
      </c>
      <c r="N357" s="59">
        <v>0</v>
      </c>
      <c r="O357" s="59">
        <v>0</v>
      </c>
      <c r="P357" s="59">
        <v>0</v>
      </c>
      <c r="Q357" s="59">
        <v>0</v>
      </c>
      <c r="R357" s="59">
        <v>0</v>
      </c>
      <c r="S357" s="59">
        <v>0</v>
      </c>
      <c r="T357" s="450">
        <v>0</v>
      </c>
      <c r="U357" s="59">
        <v>0</v>
      </c>
      <c r="V357" s="59"/>
    </row>
    <row r="358" spans="1:22" ht="25.5" customHeight="1">
      <c r="A358" s="445">
        <v>46282</v>
      </c>
      <c r="B358" s="446" t="s">
        <v>20</v>
      </c>
      <c r="C358" s="446" t="s">
        <v>105</v>
      </c>
      <c r="D358" s="59">
        <v>905</v>
      </c>
      <c r="E358" s="59">
        <v>0</v>
      </c>
      <c r="F358" s="59">
        <v>0</v>
      </c>
      <c r="G358" s="59">
        <v>0</v>
      </c>
      <c r="H358" s="59">
        <v>0</v>
      </c>
      <c r="I358" s="59">
        <v>0</v>
      </c>
      <c r="J358" s="59">
        <v>0</v>
      </c>
      <c r="K358" s="59">
        <v>0</v>
      </c>
      <c r="L358" s="59">
        <v>0</v>
      </c>
      <c r="M358" s="59">
        <v>0</v>
      </c>
      <c r="N358" s="59">
        <v>0</v>
      </c>
      <c r="O358" s="59">
        <v>0</v>
      </c>
      <c r="P358" s="59">
        <v>0</v>
      </c>
      <c r="Q358" s="59">
        <v>0</v>
      </c>
      <c r="R358" s="59">
        <v>0</v>
      </c>
      <c r="S358" s="59">
        <v>0</v>
      </c>
      <c r="T358" s="450">
        <v>0</v>
      </c>
      <c r="U358" s="59">
        <v>0</v>
      </c>
      <c r="V358" s="59"/>
    </row>
    <row r="359" spans="1:22" ht="25.5" customHeight="1">
      <c r="A359" s="445">
        <v>46282</v>
      </c>
      <c r="B359" s="446" t="s">
        <v>20</v>
      </c>
      <c r="C359" s="446" t="s">
        <v>102</v>
      </c>
      <c r="D359" s="59">
        <v>2859</v>
      </c>
      <c r="E359" s="59">
        <v>0</v>
      </c>
      <c r="F359" s="59">
        <v>0</v>
      </c>
      <c r="G359" s="59">
        <v>0</v>
      </c>
      <c r="H359" s="59">
        <v>0</v>
      </c>
      <c r="I359" s="59">
        <v>0</v>
      </c>
      <c r="J359" s="59">
        <v>0</v>
      </c>
      <c r="K359" s="59">
        <v>0</v>
      </c>
      <c r="L359" s="59">
        <v>0</v>
      </c>
      <c r="M359" s="59">
        <v>0</v>
      </c>
      <c r="N359" s="59">
        <v>0</v>
      </c>
      <c r="O359" s="59">
        <v>0</v>
      </c>
      <c r="P359" s="59">
        <v>0</v>
      </c>
      <c r="Q359" s="59">
        <v>0</v>
      </c>
      <c r="R359" s="59">
        <v>0</v>
      </c>
      <c r="S359" s="59">
        <v>0</v>
      </c>
      <c r="T359" s="450">
        <v>0</v>
      </c>
      <c r="U359" s="59">
        <v>610</v>
      </c>
      <c r="V359" s="59"/>
    </row>
    <row r="360" spans="1:22" ht="25.5" customHeight="1">
      <c r="A360" s="445">
        <v>46282</v>
      </c>
      <c r="B360" s="446" t="s">
        <v>20</v>
      </c>
      <c r="C360" s="446" t="s">
        <v>111</v>
      </c>
      <c r="D360" s="59">
        <v>0</v>
      </c>
      <c r="E360" s="59">
        <v>0</v>
      </c>
      <c r="F360" s="59">
        <v>0</v>
      </c>
      <c r="G360" s="59">
        <v>0</v>
      </c>
      <c r="H360" s="59">
        <v>0</v>
      </c>
      <c r="I360" s="59">
        <v>0</v>
      </c>
      <c r="J360" s="59">
        <v>0</v>
      </c>
      <c r="K360" s="59">
        <v>0</v>
      </c>
      <c r="L360" s="59">
        <v>0</v>
      </c>
      <c r="M360" s="59">
        <v>0</v>
      </c>
      <c r="N360" s="59">
        <v>0</v>
      </c>
      <c r="O360" s="59">
        <v>0</v>
      </c>
      <c r="P360" s="59">
        <v>0</v>
      </c>
      <c r="Q360" s="59">
        <v>0</v>
      </c>
      <c r="R360" s="59">
        <v>0</v>
      </c>
      <c r="S360" s="59">
        <v>0</v>
      </c>
      <c r="T360" s="450">
        <v>0</v>
      </c>
      <c r="U360" s="59">
        <v>0</v>
      </c>
      <c r="V360" s="59"/>
    </row>
    <row r="361" spans="1:22" ht="25.5" customHeight="1">
      <c r="A361" s="445">
        <v>46282</v>
      </c>
      <c r="B361" s="446" t="s">
        <v>21</v>
      </c>
      <c r="C361" s="446" t="s">
        <v>90</v>
      </c>
      <c r="D361" s="59">
        <v>1167</v>
      </c>
      <c r="E361" s="59">
        <v>0</v>
      </c>
      <c r="F361" s="59">
        <v>0</v>
      </c>
      <c r="G361" s="59">
        <v>0</v>
      </c>
      <c r="H361" s="59">
        <v>0</v>
      </c>
      <c r="I361" s="59">
        <v>0</v>
      </c>
      <c r="J361" s="59">
        <v>0</v>
      </c>
      <c r="K361" s="59">
        <v>0</v>
      </c>
      <c r="L361" s="59">
        <v>0</v>
      </c>
      <c r="M361" s="59">
        <v>0</v>
      </c>
      <c r="N361" s="59">
        <v>0</v>
      </c>
      <c r="O361" s="59">
        <v>0</v>
      </c>
      <c r="P361" s="59">
        <v>0</v>
      </c>
      <c r="Q361" s="59">
        <v>0</v>
      </c>
      <c r="R361" s="59">
        <v>0</v>
      </c>
      <c r="S361" s="59">
        <v>0</v>
      </c>
      <c r="T361" s="450">
        <v>0</v>
      </c>
      <c r="U361" s="59">
        <v>462.73</v>
      </c>
      <c r="V361" s="59"/>
    </row>
    <row r="362" spans="1:22" ht="25.5" customHeight="1">
      <c r="A362" s="445">
        <v>46282</v>
      </c>
      <c r="B362" s="446" t="s">
        <v>21</v>
      </c>
      <c r="C362" s="446" t="s">
        <v>109</v>
      </c>
      <c r="D362" s="59">
        <v>0</v>
      </c>
      <c r="E362" s="59">
        <v>0</v>
      </c>
      <c r="F362" s="59">
        <v>0</v>
      </c>
      <c r="G362" s="59">
        <v>0</v>
      </c>
      <c r="H362" s="59">
        <v>0</v>
      </c>
      <c r="I362" s="59">
        <v>0</v>
      </c>
      <c r="J362" s="59">
        <v>0</v>
      </c>
      <c r="K362" s="59">
        <v>0</v>
      </c>
      <c r="L362" s="59">
        <v>0</v>
      </c>
      <c r="M362" s="59">
        <v>0</v>
      </c>
      <c r="N362" s="59">
        <v>0</v>
      </c>
      <c r="O362" s="59">
        <v>0</v>
      </c>
      <c r="P362" s="59">
        <v>0</v>
      </c>
      <c r="Q362" s="59">
        <v>0</v>
      </c>
      <c r="R362" s="59">
        <v>0</v>
      </c>
      <c r="S362" s="59">
        <v>0</v>
      </c>
      <c r="T362" s="450">
        <v>0</v>
      </c>
      <c r="U362" s="59">
        <v>0</v>
      </c>
      <c r="V362" s="59"/>
    </row>
    <row r="363" spans="1:22" ht="25.5" customHeight="1">
      <c r="A363" s="445">
        <v>46282</v>
      </c>
      <c r="B363" s="446" t="s">
        <v>21</v>
      </c>
      <c r="C363" s="446" t="s">
        <v>103</v>
      </c>
      <c r="D363" s="59">
        <v>3530</v>
      </c>
      <c r="E363" s="59">
        <v>0</v>
      </c>
      <c r="F363" s="59">
        <v>0</v>
      </c>
      <c r="G363" s="59">
        <v>0</v>
      </c>
      <c r="H363" s="59">
        <v>0</v>
      </c>
      <c r="I363" s="59">
        <v>0</v>
      </c>
      <c r="J363" s="59">
        <v>0</v>
      </c>
      <c r="K363" s="59">
        <v>0</v>
      </c>
      <c r="L363" s="59">
        <v>0</v>
      </c>
      <c r="M363" s="59">
        <v>0</v>
      </c>
      <c r="N363" s="59">
        <v>0</v>
      </c>
      <c r="O363" s="59">
        <v>0</v>
      </c>
      <c r="P363" s="59">
        <v>0</v>
      </c>
      <c r="Q363" s="59">
        <v>0</v>
      </c>
      <c r="R363" s="59">
        <v>0</v>
      </c>
      <c r="S363" s="59">
        <v>0</v>
      </c>
      <c r="T363" s="450">
        <v>0</v>
      </c>
      <c r="U363" s="59">
        <v>50</v>
      </c>
      <c r="V363" s="59"/>
    </row>
    <row r="364" spans="1:22" ht="25.5" customHeight="1">
      <c r="A364" s="445">
        <v>46282</v>
      </c>
      <c r="B364" s="446" t="s">
        <v>21</v>
      </c>
      <c r="C364" s="446" t="s">
        <v>112</v>
      </c>
      <c r="D364" s="59">
        <v>1790</v>
      </c>
      <c r="E364" s="59">
        <v>0</v>
      </c>
      <c r="F364" s="59">
        <v>0</v>
      </c>
      <c r="G364" s="59">
        <v>0</v>
      </c>
      <c r="H364" s="59">
        <v>0</v>
      </c>
      <c r="I364" s="59">
        <v>0</v>
      </c>
      <c r="J364" s="59">
        <v>0</v>
      </c>
      <c r="K364" s="59">
        <v>0</v>
      </c>
      <c r="L364" s="59">
        <v>0</v>
      </c>
      <c r="M364" s="59">
        <v>0</v>
      </c>
      <c r="N364" s="59">
        <v>0</v>
      </c>
      <c r="O364" s="59">
        <v>0</v>
      </c>
      <c r="P364" s="59">
        <v>0</v>
      </c>
      <c r="Q364" s="59">
        <v>0</v>
      </c>
      <c r="R364" s="59">
        <v>0</v>
      </c>
      <c r="S364" s="59">
        <v>0</v>
      </c>
      <c r="T364" s="450">
        <v>0</v>
      </c>
      <c r="U364" s="59">
        <v>2660</v>
      </c>
      <c r="V364" s="59"/>
    </row>
    <row r="365" spans="1:22" ht="25.5" customHeight="1">
      <c r="A365" s="445">
        <v>46283</v>
      </c>
      <c r="B365" s="446" t="s">
        <v>17</v>
      </c>
      <c r="C365" s="446" t="s">
        <v>96</v>
      </c>
      <c r="D365" s="59">
        <v>11712.8</v>
      </c>
      <c r="E365" s="59">
        <v>0</v>
      </c>
      <c r="F365" s="59">
        <v>0</v>
      </c>
      <c r="G365" s="59">
        <v>0</v>
      </c>
      <c r="H365" s="59">
        <v>0</v>
      </c>
      <c r="I365" s="59">
        <v>0</v>
      </c>
      <c r="J365" s="59">
        <v>0</v>
      </c>
      <c r="K365" s="59">
        <v>0</v>
      </c>
      <c r="L365" s="59">
        <v>0</v>
      </c>
      <c r="M365" s="59">
        <v>0</v>
      </c>
      <c r="N365" s="59">
        <v>0</v>
      </c>
      <c r="O365" s="59">
        <v>0</v>
      </c>
      <c r="P365" s="59">
        <v>0</v>
      </c>
      <c r="Q365" s="59">
        <v>0</v>
      </c>
      <c r="R365" s="59">
        <v>0</v>
      </c>
      <c r="S365" s="59">
        <v>0</v>
      </c>
      <c r="T365" s="450">
        <v>0</v>
      </c>
      <c r="U365" s="59">
        <v>3865</v>
      </c>
      <c r="V365" s="59"/>
    </row>
    <row r="366" spans="1:22" ht="25.5" customHeight="1">
      <c r="A366" s="445">
        <v>46283</v>
      </c>
      <c r="B366" s="446" t="s">
        <v>17</v>
      </c>
      <c r="C366" s="446" t="s">
        <v>108</v>
      </c>
      <c r="D366" s="59">
        <v>230</v>
      </c>
      <c r="E366" s="59">
        <v>0</v>
      </c>
      <c r="F366" s="59">
        <v>0</v>
      </c>
      <c r="G366" s="59">
        <v>0</v>
      </c>
      <c r="H366" s="59">
        <v>0</v>
      </c>
      <c r="I366" s="59">
        <v>0</v>
      </c>
      <c r="J366" s="59">
        <v>0</v>
      </c>
      <c r="K366" s="59">
        <v>0</v>
      </c>
      <c r="L366" s="59">
        <v>0</v>
      </c>
      <c r="M366" s="59">
        <v>0</v>
      </c>
      <c r="N366" s="59">
        <v>0</v>
      </c>
      <c r="O366" s="59">
        <v>0</v>
      </c>
      <c r="P366" s="59">
        <v>0</v>
      </c>
      <c r="Q366" s="59">
        <v>0</v>
      </c>
      <c r="R366" s="59">
        <v>0</v>
      </c>
      <c r="S366" s="59">
        <v>0</v>
      </c>
      <c r="T366" s="450">
        <v>0</v>
      </c>
      <c r="U366" s="59">
        <v>0</v>
      </c>
      <c r="V366" s="59"/>
    </row>
    <row r="367" spans="1:22" ht="25.5" customHeight="1">
      <c r="A367" s="445">
        <v>46283</v>
      </c>
      <c r="B367" s="446" t="s">
        <v>17</v>
      </c>
      <c r="C367" s="446" t="s">
        <v>101</v>
      </c>
      <c r="D367" s="446">
        <v>3755</v>
      </c>
      <c r="E367" s="446">
        <v>0</v>
      </c>
      <c r="F367" s="446">
        <v>0</v>
      </c>
      <c r="G367" s="446">
        <v>0</v>
      </c>
      <c r="H367" s="446">
        <v>0</v>
      </c>
      <c r="I367" s="446">
        <v>0</v>
      </c>
      <c r="J367" s="446">
        <v>0</v>
      </c>
      <c r="K367" s="446">
        <v>0</v>
      </c>
      <c r="L367" s="446">
        <v>0</v>
      </c>
      <c r="M367" s="446">
        <v>0</v>
      </c>
      <c r="N367" s="446">
        <v>0</v>
      </c>
      <c r="O367" s="446">
        <v>0</v>
      </c>
      <c r="P367" s="446">
        <v>0</v>
      </c>
      <c r="Q367" s="446">
        <v>0</v>
      </c>
      <c r="R367" s="446">
        <v>0</v>
      </c>
      <c r="S367" s="446">
        <v>0</v>
      </c>
      <c r="T367" s="447">
        <v>0</v>
      </c>
      <c r="U367" s="446">
        <v>2014.8</v>
      </c>
      <c r="V367" s="446"/>
    </row>
    <row r="368" spans="1:22" ht="25.5" customHeight="1">
      <c r="A368" s="445">
        <v>46283</v>
      </c>
      <c r="B368" s="446" t="s">
        <v>17</v>
      </c>
      <c r="C368" s="446" t="s">
        <v>106</v>
      </c>
      <c r="D368" s="446">
        <v>1150</v>
      </c>
      <c r="E368" s="446">
        <v>0</v>
      </c>
      <c r="F368" s="446">
        <v>0</v>
      </c>
      <c r="G368" s="446">
        <v>0</v>
      </c>
      <c r="H368" s="446">
        <v>0</v>
      </c>
      <c r="I368" s="446">
        <v>0</v>
      </c>
      <c r="J368" s="446">
        <v>0</v>
      </c>
      <c r="K368" s="446">
        <v>0</v>
      </c>
      <c r="L368" s="446">
        <v>0</v>
      </c>
      <c r="M368" s="446">
        <v>0</v>
      </c>
      <c r="N368" s="446">
        <v>0</v>
      </c>
      <c r="O368" s="446">
        <v>0</v>
      </c>
      <c r="P368" s="446">
        <v>0</v>
      </c>
      <c r="Q368" s="446">
        <v>0</v>
      </c>
      <c r="R368" s="446">
        <v>0</v>
      </c>
      <c r="S368" s="446">
        <v>0</v>
      </c>
      <c r="T368" s="447">
        <v>0</v>
      </c>
      <c r="U368" s="446">
        <v>0</v>
      </c>
      <c r="V368" s="446"/>
    </row>
    <row r="369" spans="1:22" ht="25.5" customHeight="1">
      <c r="A369" s="445">
        <v>46283</v>
      </c>
      <c r="B369" s="446" t="s">
        <v>22</v>
      </c>
      <c r="C369" s="446" t="s">
        <v>23</v>
      </c>
      <c r="D369" s="446">
        <v>31456.2</v>
      </c>
      <c r="E369" s="446">
        <v>0</v>
      </c>
      <c r="F369" s="446">
        <v>0</v>
      </c>
      <c r="G369" s="446">
        <v>0</v>
      </c>
      <c r="H369" s="446">
        <v>0</v>
      </c>
      <c r="I369" s="446">
        <v>0</v>
      </c>
      <c r="J369" s="446">
        <v>0</v>
      </c>
      <c r="K369" s="446">
        <v>0</v>
      </c>
      <c r="L369" s="446">
        <v>0</v>
      </c>
      <c r="M369" s="446">
        <v>0</v>
      </c>
      <c r="N369" s="446">
        <v>0</v>
      </c>
      <c r="O369" s="446">
        <v>0</v>
      </c>
      <c r="P369" s="446">
        <v>0</v>
      </c>
      <c r="Q369" s="446">
        <v>0</v>
      </c>
      <c r="R369" s="446">
        <v>0</v>
      </c>
      <c r="S369" s="446">
        <v>0</v>
      </c>
      <c r="T369" s="447">
        <v>0</v>
      </c>
      <c r="U369" s="446">
        <v>6552</v>
      </c>
      <c r="V369" s="446"/>
    </row>
    <row r="370" spans="1:22" ht="25.5" customHeight="1">
      <c r="A370" s="445">
        <v>46283</v>
      </c>
      <c r="B370" s="446" t="s">
        <v>18</v>
      </c>
      <c r="C370" s="446" t="s">
        <v>97</v>
      </c>
      <c r="D370" s="446">
        <v>3176.4</v>
      </c>
      <c r="E370" s="446">
        <v>0</v>
      </c>
      <c r="F370" s="446">
        <v>0</v>
      </c>
      <c r="G370" s="446">
        <v>0</v>
      </c>
      <c r="H370" s="446">
        <v>0</v>
      </c>
      <c r="I370" s="446">
        <v>0</v>
      </c>
      <c r="J370" s="446">
        <v>0</v>
      </c>
      <c r="K370" s="446">
        <v>0</v>
      </c>
      <c r="L370" s="446">
        <v>0</v>
      </c>
      <c r="M370" s="446">
        <v>0</v>
      </c>
      <c r="N370" s="446">
        <v>0</v>
      </c>
      <c r="O370" s="446">
        <v>0</v>
      </c>
      <c r="P370" s="446">
        <v>0</v>
      </c>
      <c r="Q370" s="446">
        <v>0</v>
      </c>
      <c r="R370" s="446">
        <v>0</v>
      </c>
      <c r="S370" s="446">
        <v>0</v>
      </c>
      <c r="T370" s="447">
        <v>0</v>
      </c>
      <c r="U370" s="446">
        <v>1298</v>
      </c>
      <c r="V370" s="446"/>
    </row>
    <row r="371" spans="1:22" ht="25.5" customHeight="1">
      <c r="A371" s="445">
        <v>46283</v>
      </c>
      <c r="B371" s="446" t="s">
        <v>18</v>
      </c>
      <c r="C371" s="446" t="s">
        <v>98</v>
      </c>
      <c r="D371" s="446">
        <v>0</v>
      </c>
      <c r="E371" s="446">
        <v>0</v>
      </c>
      <c r="F371" s="446">
        <v>0</v>
      </c>
      <c r="G371" s="446">
        <v>0</v>
      </c>
      <c r="H371" s="446">
        <v>0</v>
      </c>
      <c r="I371" s="446">
        <v>0</v>
      </c>
      <c r="J371" s="446">
        <v>0</v>
      </c>
      <c r="K371" s="446">
        <v>0</v>
      </c>
      <c r="L371" s="446">
        <v>0</v>
      </c>
      <c r="M371" s="446">
        <v>0</v>
      </c>
      <c r="N371" s="446">
        <v>0</v>
      </c>
      <c r="O371" s="446">
        <v>0</v>
      </c>
      <c r="P371" s="446">
        <v>0</v>
      </c>
      <c r="Q371" s="446">
        <v>0</v>
      </c>
      <c r="R371" s="446">
        <v>0</v>
      </c>
      <c r="S371" s="446">
        <v>0</v>
      </c>
      <c r="T371" s="447">
        <v>0</v>
      </c>
      <c r="U371" s="446">
        <v>0</v>
      </c>
      <c r="V371" s="446"/>
    </row>
    <row r="372" spans="1:22" ht="25.5" customHeight="1">
      <c r="A372" s="445">
        <v>46283</v>
      </c>
      <c r="B372" s="446" t="s">
        <v>18</v>
      </c>
      <c r="C372" s="446" t="s">
        <v>110</v>
      </c>
      <c r="D372" s="446">
        <v>19929</v>
      </c>
      <c r="E372" s="446">
        <v>0</v>
      </c>
      <c r="F372" s="446">
        <v>0</v>
      </c>
      <c r="G372" s="446">
        <v>0</v>
      </c>
      <c r="H372" s="446">
        <v>0</v>
      </c>
      <c r="I372" s="446">
        <v>0</v>
      </c>
      <c r="J372" s="446">
        <v>0</v>
      </c>
      <c r="K372" s="446">
        <v>0</v>
      </c>
      <c r="L372" s="446">
        <v>0</v>
      </c>
      <c r="M372" s="446">
        <v>0</v>
      </c>
      <c r="N372" s="446">
        <v>0</v>
      </c>
      <c r="O372" s="446">
        <v>0</v>
      </c>
      <c r="P372" s="446">
        <v>0</v>
      </c>
      <c r="Q372" s="446">
        <v>0</v>
      </c>
      <c r="R372" s="446">
        <v>0</v>
      </c>
      <c r="S372" s="446">
        <v>0</v>
      </c>
      <c r="T372" s="447">
        <v>0</v>
      </c>
      <c r="U372" s="446">
        <v>200</v>
      </c>
      <c r="V372" s="446"/>
    </row>
    <row r="373" spans="1:22" ht="25.5" customHeight="1">
      <c r="A373" s="445">
        <v>46283</v>
      </c>
      <c r="B373" s="446" t="s">
        <v>19</v>
      </c>
      <c r="C373" s="446" t="s">
        <v>99</v>
      </c>
      <c r="D373" s="446">
        <v>11538</v>
      </c>
      <c r="E373" s="446">
        <v>0</v>
      </c>
      <c r="F373" s="446">
        <v>0</v>
      </c>
      <c r="G373" s="446">
        <v>0</v>
      </c>
      <c r="H373" s="446">
        <v>0</v>
      </c>
      <c r="I373" s="446">
        <v>0</v>
      </c>
      <c r="J373" s="446">
        <v>0</v>
      </c>
      <c r="K373" s="446">
        <v>0</v>
      </c>
      <c r="L373" s="446">
        <v>0</v>
      </c>
      <c r="M373" s="446">
        <v>0</v>
      </c>
      <c r="N373" s="446">
        <v>0</v>
      </c>
      <c r="O373" s="446">
        <v>0</v>
      </c>
      <c r="P373" s="446">
        <v>0</v>
      </c>
      <c r="Q373" s="446">
        <v>0</v>
      </c>
      <c r="R373" s="446">
        <v>0</v>
      </c>
      <c r="S373" s="446">
        <v>0</v>
      </c>
      <c r="T373" s="447">
        <v>0</v>
      </c>
      <c r="U373" s="446">
        <v>7022</v>
      </c>
      <c r="V373" s="446"/>
    </row>
    <row r="374" spans="1:22" ht="25.5" customHeight="1">
      <c r="A374" s="445">
        <v>46283</v>
      </c>
      <c r="B374" s="446" t="s">
        <v>19</v>
      </c>
      <c r="C374" s="446" t="s">
        <v>88</v>
      </c>
      <c r="D374" s="446">
        <v>13988</v>
      </c>
      <c r="E374" s="446">
        <v>0</v>
      </c>
      <c r="F374" s="446">
        <v>0</v>
      </c>
      <c r="G374" s="446">
        <v>0</v>
      </c>
      <c r="H374" s="446">
        <v>0</v>
      </c>
      <c r="I374" s="446">
        <v>0</v>
      </c>
      <c r="J374" s="446">
        <v>0</v>
      </c>
      <c r="K374" s="446">
        <v>0</v>
      </c>
      <c r="L374" s="446">
        <v>0</v>
      </c>
      <c r="M374" s="446">
        <v>0</v>
      </c>
      <c r="N374" s="446">
        <v>0</v>
      </c>
      <c r="O374" s="446">
        <v>0</v>
      </c>
      <c r="P374" s="446">
        <v>0</v>
      </c>
      <c r="Q374" s="446">
        <v>0</v>
      </c>
      <c r="R374" s="446">
        <v>0</v>
      </c>
      <c r="S374" s="446">
        <v>0</v>
      </c>
      <c r="T374" s="447">
        <v>0</v>
      </c>
      <c r="U374" s="446">
        <v>3192</v>
      </c>
      <c r="V374" s="446"/>
    </row>
    <row r="375" spans="1:22" ht="25.5" customHeight="1">
      <c r="A375" s="445">
        <v>46283</v>
      </c>
      <c r="B375" s="446" t="s">
        <v>19</v>
      </c>
      <c r="C375" s="446" t="s">
        <v>107</v>
      </c>
      <c r="D375" s="446">
        <v>5047</v>
      </c>
      <c r="E375" s="446">
        <v>0</v>
      </c>
      <c r="F375" s="446">
        <v>0</v>
      </c>
      <c r="G375" s="446">
        <v>0</v>
      </c>
      <c r="H375" s="446">
        <v>0</v>
      </c>
      <c r="I375" s="446">
        <v>0</v>
      </c>
      <c r="J375" s="446">
        <v>0</v>
      </c>
      <c r="K375" s="446">
        <v>0</v>
      </c>
      <c r="L375" s="446">
        <v>0</v>
      </c>
      <c r="M375" s="446">
        <v>0</v>
      </c>
      <c r="N375" s="446">
        <v>0</v>
      </c>
      <c r="O375" s="446">
        <v>0</v>
      </c>
      <c r="P375" s="446">
        <v>0</v>
      </c>
      <c r="Q375" s="446">
        <v>0</v>
      </c>
      <c r="R375" s="446">
        <v>0</v>
      </c>
      <c r="S375" s="446">
        <v>0</v>
      </c>
      <c r="T375" s="447">
        <v>0</v>
      </c>
      <c r="U375" s="446">
        <v>1553</v>
      </c>
      <c r="V375" s="446"/>
    </row>
    <row r="376" spans="1:22" ht="25.5" customHeight="1">
      <c r="A376" s="445">
        <v>46283</v>
      </c>
      <c r="B376" s="446" t="s">
        <v>20</v>
      </c>
      <c r="C376" s="446" t="s">
        <v>93</v>
      </c>
      <c r="D376" s="446">
        <v>18918</v>
      </c>
      <c r="E376" s="446">
        <v>0</v>
      </c>
      <c r="F376" s="446">
        <v>0</v>
      </c>
      <c r="G376" s="446">
        <v>0</v>
      </c>
      <c r="H376" s="446">
        <v>0</v>
      </c>
      <c r="I376" s="446">
        <v>0</v>
      </c>
      <c r="J376" s="446">
        <v>0</v>
      </c>
      <c r="K376" s="446">
        <v>0</v>
      </c>
      <c r="L376" s="446">
        <v>0</v>
      </c>
      <c r="M376" s="446">
        <v>0</v>
      </c>
      <c r="N376" s="446">
        <v>0</v>
      </c>
      <c r="O376" s="446">
        <v>0</v>
      </c>
      <c r="P376" s="446">
        <v>0</v>
      </c>
      <c r="Q376" s="446">
        <v>0</v>
      </c>
      <c r="R376" s="446">
        <v>0</v>
      </c>
      <c r="S376" s="446">
        <v>0</v>
      </c>
      <c r="T376" s="447">
        <v>0</v>
      </c>
      <c r="U376" s="446">
        <v>3025</v>
      </c>
      <c r="V376" s="446"/>
    </row>
    <row r="377" spans="1:22" ht="25.5" customHeight="1">
      <c r="A377" s="445">
        <v>46283</v>
      </c>
      <c r="B377" s="446" t="s">
        <v>20</v>
      </c>
      <c r="C377" s="446" t="s">
        <v>105</v>
      </c>
      <c r="D377" s="446">
        <v>25249</v>
      </c>
      <c r="E377" s="446">
        <v>0</v>
      </c>
      <c r="F377" s="446">
        <v>0</v>
      </c>
      <c r="G377" s="446">
        <v>0</v>
      </c>
      <c r="H377" s="446">
        <v>0</v>
      </c>
      <c r="I377" s="446">
        <v>0</v>
      </c>
      <c r="J377" s="446">
        <v>0</v>
      </c>
      <c r="K377" s="446">
        <v>0</v>
      </c>
      <c r="L377" s="446">
        <v>0</v>
      </c>
      <c r="M377" s="446">
        <v>0</v>
      </c>
      <c r="N377" s="446">
        <v>0</v>
      </c>
      <c r="O377" s="446">
        <v>0</v>
      </c>
      <c r="P377" s="446">
        <v>0</v>
      </c>
      <c r="Q377" s="446">
        <v>0</v>
      </c>
      <c r="R377" s="446">
        <v>0</v>
      </c>
      <c r="S377" s="446">
        <v>0</v>
      </c>
      <c r="T377" s="447">
        <v>0</v>
      </c>
      <c r="U377" s="446">
        <v>2832</v>
      </c>
      <c r="V377" s="446"/>
    </row>
    <row r="378" spans="1:22" ht="25.5" customHeight="1">
      <c r="A378" s="445">
        <v>46283</v>
      </c>
      <c r="B378" s="446" t="s">
        <v>20</v>
      </c>
      <c r="C378" s="446" t="s">
        <v>102</v>
      </c>
      <c r="D378" s="446">
        <v>0</v>
      </c>
      <c r="E378" s="446">
        <v>0</v>
      </c>
      <c r="F378" s="446">
        <v>0</v>
      </c>
      <c r="G378" s="446">
        <v>0</v>
      </c>
      <c r="H378" s="446">
        <v>0</v>
      </c>
      <c r="I378" s="446">
        <v>0</v>
      </c>
      <c r="J378" s="446">
        <v>0</v>
      </c>
      <c r="K378" s="446">
        <v>0</v>
      </c>
      <c r="L378" s="446">
        <v>0</v>
      </c>
      <c r="M378" s="446">
        <v>0</v>
      </c>
      <c r="N378" s="446">
        <v>0</v>
      </c>
      <c r="O378" s="446">
        <v>0</v>
      </c>
      <c r="P378" s="446">
        <v>0</v>
      </c>
      <c r="Q378" s="446">
        <v>0</v>
      </c>
      <c r="R378" s="446">
        <v>0</v>
      </c>
      <c r="S378" s="446">
        <v>0</v>
      </c>
      <c r="T378" s="447">
        <v>0</v>
      </c>
      <c r="U378" s="446">
        <v>0</v>
      </c>
      <c r="V378" s="446"/>
    </row>
    <row r="379" spans="1:22" ht="25.5" customHeight="1">
      <c r="A379" s="445">
        <v>46283</v>
      </c>
      <c r="B379" s="446" t="s">
        <v>20</v>
      </c>
      <c r="C379" s="446" t="s">
        <v>111</v>
      </c>
      <c r="D379" s="446">
        <v>13945.4</v>
      </c>
      <c r="E379" s="446">
        <v>0</v>
      </c>
      <c r="F379" s="446">
        <v>0</v>
      </c>
      <c r="G379" s="446">
        <v>0</v>
      </c>
      <c r="H379" s="446">
        <v>0</v>
      </c>
      <c r="I379" s="446">
        <v>0</v>
      </c>
      <c r="J379" s="446">
        <v>0</v>
      </c>
      <c r="K379" s="446">
        <v>0</v>
      </c>
      <c r="L379" s="446">
        <v>0</v>
      </c>
      <c r="M379" s="446">
        <v>0</v>
      </c>
      <c r="N379" s="446">
        <v>0</v>
      </c>
      <c r="O379" s="446">
        <v>0</v>
      </c>
      <c r="P379" s="446">
        <v>0</v>
      </c>
      <c r="Q379" s="446">
        <v>0</v>
      </c>
      <c r="R379" s="446">
        <v>0</v>
      </c>
      <c r="S379" s="446">
        <v>0</v>
      </c>
      <c r="T379" s="447">
        <v>0</v>
      </c>
      <c r="U379" s="446">
        <v>1243</v>
      </c>
      <c r="V379" s="446"/>
    </row>
    <row r="380" spans="1:22" ht="25.5" customHeight="1">
      <c r="A380" s="445">
        <v>46283</v>
      </c>
      <c r="B380" s="446" t="s">
        <v>21</v>
      </c>
      <c r="C380" s="446" t="s">
        <v>90</v>
      </c>
      <c r="D380" s="446">
        <v>25055</v>
      </c>
      <c r="E380" s="446">
        <v>0</v>
      </c>
      <c r="F380" s="446">
        <v>0</v>
      </c>
      <c r="G380" s="446">
        <v>0</v>
      </c>
      <c r="H380" s="446">
        <v>0</v>
      </c>
      <c r="I380" s="446">
        <v>0</v>
      </c>
      <c r="J380" s="446">
        <v>0</v>
      </c>
      <c r="K380" s="446">
        <v>0</v>
      </c>
      <c r="L380" s="446">
        <v>0</v>
      </c>
      <c r="M380" s="446">
        <v>0</v>
      </c>
      <c r="N380" s="446">
        <v>0</v>
      </c>
      <c r="O380" s="446">
        <v>0</v>
      </c>
      <c r="P380" s="446">
        <v>0</v>
      </c>
      <c r="Q380" s="446">
        <v>0</v>
      </c>
      <c r="R380" s="446">
        <v>0</v>
      </c>
      <c r="S380" s="446">
        <v>0</v>
      </c>
      <c r="T380" s="447">
        <v>0</v>
      </c>
      <c r="U380" s="446">
        <v>2997</v>
      </c>
      <c r="V380" s="446"/>
    </row>
    <row r="381" spans="1:22" ht="25.5" customHeight="1">
      <c r="A381" s="445">
        <v>46283</v>
      </c>
      <c r="B381" s="446" t="s">
        <v>21</v>
      </c>
      <c r="C381" s="446" t="s">
        <v>109</v>
      </c>
      <c r="D381" s="446">
        <v>7140</v>
      </c>
      <c r="E381" s="446">
        <v>0</v>
      </c>
      <c r="F381" s="446">
        <v>0</v>
      </c>
      <c r="G381" s="446">
        <v>0</v>
      </c>
      <c r="H381" s="446">
        <v>0</v>
      </c>
      <c r="I381" s="446">
        <v>0</v>
      </c>
      <c r="J381" s="446">
        <v>0</v>
      </c>
      <c r="K381" s="446">
        <v>0</v>
      </c>
      <c r="L381" s="446">
        <v>0</v>
      </c>
      <c r="M381" s="446">
        <v>0</v>
      </c>
      <c r="N381" s="446">
        <v>0</v>
      </c>
      <c r="O381" s="446">
        <v>0</v>
      </c>
      <c r="P381" s="446">
        <v>0</v>
      </c>
      <c r="Q381" s="446">
        <v>0</v>
      </c>
      <c r="R381" s="446">
        <v>0</v>
      </c>
      <c r="S381" s="446">
        <v>0</v>
      </c>
      <c r="T381" s="447">
        <v>0</v>
      </c>
      <c r="U381" s="446">
        <v>0</v>
      </c>
      <c r="V381" s="446"/>
    </row>
    <row r="382" spans="1:22" ht="25.5" customHeight="1">
      <c r="A382" s="445">
        <v>46283</v>
      </c>
      <c r="B382" s="446" t="s">
        <v>21</v>
      </c>
      <c r="C382" s="446" t="s">
        <v>103</v>
      </c>
      <c r="D382" s="446">
        <v>2594.8000000000002</v>
      </c>
      <c r="E382" s="446">
        <v>0</v>
      </c>
      <c r="F382" s="446">
        <v>0</v>
      </c>
      <c r="G382" s="446">
        <v>0</v>
      </c>
      <c r="H382" s="446">
        <v>0</v>
      </c>
      <c r="I382" s="446">
        <v>0</v>
      </c>
      <c r="J382" s="446">
        <v>0</v>
      </c>
      <c r="K382" s="446">
        <v>0</v>
      </c>
      <c r="L382" s="446">
        <v>0</v>
      </c>
      <c r="M382" s="446">
        <v>0</v>
      </c>
      <c r="N382" s="446">
        <v>0</v>
      </c>
      <c r="O382" s="446">
        <v>0</v>
      </c>
      <c r="P382" s="446">
        <v>0</v>
      </c>
      <c r="Q382" s="446">
        <v>0</v>
      </c>
      <c r="R382" s="446">
        <v>0</v>
      </c>
      <c r="S382" s="446">
        <v>0</v>
      </c>
      <c r="T382" s="447">
        <v>0</v>
      </c>
      <c r="U382" s="446">
        <v>1431.8</v>
      </c>
      <c r="V382" s="446"/>
    </row>
    <row r="383" spans="1:22" ht="25.5" customHeight="1">
      <c r="A383" s="445">
        <v>46283</v>
      </c>
      <c r="B383" s="446" t="s">
        <v>21</v>
      </c>
      <c r="C383" s="446" t="s">
        <v>112</v>
      </c>
      <c r="D383" s="446">
        <v>2346</v>
      </c>
      <c r="E383" s="446">
        <v>0</v>
      </c>
      <c r="F383" s="446">
        <v>0</v>
      </c>
      <c r="G383" s="446">
        <v>0</v>
      </c>
      <c r="H383" s="446">
        <v>0</v>
      </c>
      <c r="I383" s="446">
        <v>0</v>
      </c>
      <c r="J383" s="446">
        <v>0</v>
      </c>
      <c r="K383" s="446">
        <v>0</v>
      </c>
      <c r="L383" s="446">
        <v>0</v>
      </c>
      <c r="M383" s="446">
        <v>0</v>
      </c>
      <c r="N383" s="446">
        <v>0</v>
      </c>
      <c r="O383" s="446">
        <v>0</v>
      </c>
      <c r="P383" s="446">
        <v>0</v>
      </c>
      <c r="Q383" s="446">
        <v>0</v>
      </c>
      <c r="R383" s="446">
        <v>0</v>
      </c>
      <c r="S383" s="446">
        <v>0</v>
      </c>
      <c r="T383" s="447">
        <v>0</v>
      </c>
      <c r="U383" s="446">
        <v>604</v>
      </c>
      <c r="V383" s="446"/>
    </row>
    <row r="384" spans="1:22" ht="25.5" customHeight="1">
      <c r="A384" s="445">
        <v>46284</v>
      </c>
      <c r="B384" s="446" t="s">
        <v>17</v>
      </c>
      <c r="C384" s="446" t="s">
        <v>96</v>
      </c>
      <c r="D384" s="446">
        <v>5288.5</v>
      </c>
      <c r="E384" s="446">
        <v>0</v>
      </c>
      <c r="F384" s="446">
        <v>0</v>
      </c>
      <c r="G384" s="446">
        <v>0</v>
      </c>
      <c r="H384" s="446">
        <v>0</v>
      </c>
      <c r="I384" s="446">
        <v>0</v>
      </c>
      <c r="J384" s="446">
        <v>0</v>
      </c>
      <c r="K384" s="446">
        <v>0</v>
      </c>
      <c r="L384" s="446">
        <v>0</v>
      </c>
      <c r="M384" s="446">
        <v>0</v>
      </c>
      <c r="N384" s="446">
        <v>0</v>
      </c>
      <c r="O384" s="446">
        <v>0</v>
      </c>
      <c r="P384" s="446">
        <v>0</v>
      </c>
      <c r="Q384" s="446">
        <v>0</v>
      </c>
      <c r="R384" s="446">
        <v>0</v>
      </c>
      <c r="S384" s="446">
        <v>0</v>
      </c>
      <c r="T384" s="447">
        <v>0</v>
      </c>
      <c r="U384" s="446">
        <v>632</v>
      </c>
      <c r="V384" s="446"/>
    </row>
    <row r="385" spans="1:22" ht="25.5" customHeight="1">
      <c r="A385" s="445">
        <v>46284</v>
      </c>
      <c r="B385" s="446" t="s">
        <v>17</v>
      </c>
      <c r="C385" s="446" t="s">
        <v>108</v>
      </c>
      <c r="D385" s="446">
        <v>9823.7000000000007</v>
      </c>
      <c r="E385" s="446">
        <v>0</v>
      </c>
      <c r="F385" s="446">
        <v>0</v>
      </c>
      <c r="G385" s="446">
        <v>0</v>
      </c>
      <c r="H385" s="446">
        <v>0</v>
      </c>
      <c r="I385" s="446">
        <v>0</v>
      </c>
      <c r="J385" s="446">
        <v>0</v>
      </c>
      <c r="K385" s="446">
        <v>0</v>
      </c>
      <c r="L385" s="446">
        <v>0</v>
      </c>
      <c r="M385" s="446">
        <v>0</v>
      </c>
      <c r="N385" s="446">
        <v>0</v>
      </c>
      <c r="O385" s="446">
        <v>0</v>
      </c>
      <c r="P385" s="446">
        <v>0</v>
      </c>
      <c r="Q385" s="446">
        <v>0</v>
      </c>
      <c r="R385" s="446">
        <v>0</v>
      </c>
      <c r="S385" s="446">
        <v>0</v>
      </c>
      <c r="T385" s="447">
        <v>0</v>
      </c>
      <c r="U385" s="446">
        <v>5127</v>
      </c>
      <c r="V385" s="446"/>
    </row>
    <row r="386" spans="1:22" ht="25.5" customHeight="1">
      <c r="A386" s="445">
        <v>46284</v>
      </c>
      <c r="B386" s="446" t="s">
        <v>17</v>
      </c>
      <c r="C386" s="446" t="s">
        <v>101</v>
      </c>
      <c r="D386" s="446">
        <v>1365</v>
      </c>
      <c r="E386" s="446">
        <v>0</v>
      </c>
      <c r="F386" s="446">
        <v>0</v>
      </c>
      <c r="G386" s="446">
        <v>0</v>
      </c>
      <c r="H386" s="446">
        <v>0</v>
      </c>
      <c r="I386" s="446">
        <v>0</v>
      </c>
      <c r="J386" s="446">
        <v>0</v>
      </c>
      <c r="K386" s="446">
        <v>0</v>
      </c>
      <c r="L386" s="446">
        <v>0</v>
      </c>
      <c r="M386" s="446">
        <v>0</v>
      </c>
      <c r="N386" s="446">
        <v>0</v>
      </c>
      <c r="O386" s="446">
        <v>0</v>
      </c>
      <c r="P386" s="446">
        <v>0</v>
      </c>
      <c r="Q386" s="446">
        <v>0</v>
      </c>
      <c r="R386" s="446">
        <v>0</v>
      </c>
      <c r="S386" s="446">
        <v>0</v>
      </c>
      <c r="T386" s="447">
        <v>0</v>
      </c>
      <c r="U386" s="446">
        <v>615</v>
      </c>
      <c r="V386" s="446"/>
    </row>
    <row r="387" spans="1:22" ht="25.5" customHeight="1">
      <c r="A387" s="445">
        <v>46284</v>
      </c>
      <c r="B387" s="446" t="s">
        <v>17</v>
      </c>
      <c r="C387" s="446" t="s">
        <v>106</v>
      </c>
      <c r="D387" s="446">
        <v>0</v>
      </c>
      <c r="E387" s="446">
        <v>0</v>
      </c>
      <c r="F387" s="446">
        <v>0</v>
      </c>
      <c r="G387" s="446">
        <v>0</v>
      </c>
      <c r="H387" s="446">
        <v>0</v>
      </c>
      <c r="I387" s="446">
        <v>0</v>
      </c>
      <c r="J387" s="446">
        <v>0</v>
      </c>
      <c r="K387" s="446">
        <v>0</v>
      </c>
      <c r="L387" s="446">
        <v>0</v>
      </c>
      <c r="M387" s="446">
        <v>0</v>
      </c>
      <c r="N387" s="446">
        <v>0</v>
      </c>
      <c r="O387" s="446">
        <v>0</v>
      </c>
      <c r="P387" s="446">
        <v>0</v>
      </c>
      <c r="Q387" s="446">
        <v>0</v>
      </c>
      <c r="R387" s="446">
        <v>0</v>
      </c>
      <c r="S387" s="446">
        <v>0</v>
      </c>
      <c r="T387" s="447">
        <v>0</v>
      </c>
      <c r="U387" s="446">
        <v>0</v>
      </c>
      <c r="V387" s="446"/>
    </row>
    <row r="388" spans="1:22" ht="25.5" customHeight="1">
      <c r="A388" s="445">
        <v>46284</v>
      </c>
      <c r="B388" s="446" t="s">
        <v>22</v>
      </c>
      <c r="C388" s="446" t="s">
        <v>23</v>
      </c>
      <c r="D388" s="446">
        <v>8568</v>
      </c>
      <c r="E388" s="446">
        <v>0</v>
      </c>
      <c r="F388" s="446">
        <v>0</v>
      </c>
      <c r="G388" s="446">
        <v>0</v>
      </c>
      <c r="H388" s="446">
        <v>0</v>
      </c>
      <c r="I388" s="446">
        <v>0</v>
      </c>
      <c r="J388" s="446">
        <v>0</v>
      </c>
      <c r="K388" s="446">
        <v>0</v>
      </c>
      <c r="L388" s="446">
        <v>0</v>
      </c>
      <c r="M388" s="446">
        <v>0</v>
      </c>
      <c r="N388" s="446">
        <v>0</v>
      </c>
      <c r="O388" s="446">
        <v>0</v>
      </c>
      <c r="P388" s="446">
        <v>0</v>
      </c>
      <c r="Q388" s="446">
        <v>0</v>
      </c>
      <c r="R388" s="446">
        <v>0</v>
      </c>
      <c r="S388" s="446">
        <v>0</v>
      </c>
      <c r="T388" s="447">
        <v>0</v>
      </c>
      <c r="U388" s="446">
        <v>1972</v>
      </c>
      <c r="V388" s="446"/>
    </row>
    <row r="389" spans="1:22" ht="25.5" customHeight="1">
      <c r="A389" s="445">
        <v>46284</v>
      </c>
      <c r="B389" s="446" t="s">
        <v>18</v>
      </c>
      <c r="C389" s="446" t="s">
        <v>97</v>
      </c>
      <c r="D389" s="446">
        <v>10630.2</v>
      </c>
      <c r="E389" s="446">
        <v>0</v>
      </c>
      <c r="F389" s="446">
        <v>0</v>
      </c>
      <c r="G389" s="446">
        <v>0</v>
      </c>
      <c r="H389" s="446">
        <v>0</v>
      </c>
      <c r="I389" s="446">
        <v>0</v>
      </c>
      <c r="J389" s="446">
        <v>0</v>
      </c>
      <c r="K389" s="446">
        <v>0</v>
      </c>
      <c r="L389" s="446">
        <v>0</v>
      </c>
      <c r="M389" s="446">
        <v>0</v>
      </c>
      <c r="N389" s="446">
        <v>0</v>
      </c>
      <c r="O389" s="446">
        <v>0</v>
      </c>
      <c r="P389" s="446">
        <v>0</v>
      </c>
      <c r="Q389" s="446">
        <v>0</v>
      </c>
      <c r="R389" s="446">
        <v>0</v>
      </c>
      <c r="S389" s="446">
        <v>0</v>
      </c>
      <c r="T389" s="447">
        <v>0</v>
      </c>
      <c r="U389" s="446">
        <v>1125</v>
      </c>
      <c r="V389" s="446"/>
    </row>
    <row r="390" spans="1:22" ht="25.5" customHeight="1">
      <c r="A390" s="445">
        <v>46284</v>
      </c>
      <c r="B390" s="446" t="s">
        <v>18</v>
      </c>
      <c r="C390" s="446" t="s">
        <v>98</v>
      </c>
      <c r="D390" s="446">
        <v>2443</v>
      </c>
      <c r="E390" s="446">
        <v>0</v>
      </c>
      <c r="F390" s="446">
        <v>0</v>
      </c>
      <c r="G390" s="446">
        <v>0</v>
      </c>
      <c r="H390" s="446">
        <v>0</v>
      </c>
      <c r="I390" s="446">
        <v>0</v>
      </c>
      <c r="J390" s="446">
        <v>0</v>
      </c>
      <c r="K390" s="446">
        <v>0</v>
      </c>
      <c r="L390" s="446">
        <v>0</v>
      </c>
      <c r="M390" s="446">
        <v>0</v>
      </c>
      <c r="N390" s="446">
        <v>0</v>
      </c>
      <c r="O390" s="446">
        <v>0</v>
      </c>
      <c r="P390" s="446">
        <v>0</v>
      </c>
      <c r="Q390" s="446">
        <v>0</v>
      </c>
      <c r="R390" s="446">
        <v>0</v>
      </c>
      <c r="S390" s="446">
        <v>0</v>
      </c>
      <c r="T390" s="447">
        <v>0</v>
      </c>
      <c r="U390" s="446">
        <v>456.8</v>
      </c>
      <c r="V390" s="446"/>
    </row>
    <row r="391" spans="1:22" ht="25.5" customHeight="1">
      <c r="A391" s="445">
        <v>46284</v>
      </c>
      <c r="B391" s="446" t="s">
        <v>18</v>
      </c>
      <c r="C391" s="446" t="s">
        <v>110</v>
      </c>
      <c r="D391" s="446">
        <v>796</v>
      </c>
      <c r="E391" s="446">
        <v>0</v>
      </c>
      <c r="F391" s="446">
        <v>0</v>
      </c>
      <c r="G391" s="446">
        <v>0</v>
      </c>
      <c r="H391" s="446">
        <v>0</v>
      </c>
      <c r="I391" s="446">
        <v>0</v>
      </c>
      <c r="J391" s="446">
        <v>0</v>
      </c>
      <c r="K391" s="446">
        <v>0</v>
      </c>
      <c r="L391" s="446">
        <v>0</v>
      </c>
      <c r="M391" s="446">
        <v>0</v>
      </c>
      <c r="N391" s="446">
        <v>0</v>
      </c>
      <c r="O391" s="446">
        <v>0</v>
      </c>
      <c r="P391" s="446">
        <v>0</v>
      </c>
      <c r="Q391" s="446">
        <v>0</v>
      </c>
      <c r="R391" s="446">
        <v>0</v>
      </c>
      <c r="S391" s="446">
        <v>0</v>
      </c>
      <c r="T391" s="447">
        <v>0</v>
      </c>
      <c r="U391" s="446">
        <v>294</v>
      </c>
      <c r="V391" s="446"/>
    </row>
    <row r="392" spans="1:22" ht="25.5" customHeight="1">
      <c r="A392" s="445">
        <v>46284</v>
      </c>
      <c r="B392" s="446" t="s">
        <v>19</v>
      </c>
      <c r="C392" s="446" t="s">
        <v>99</v>
      </c>
      <c r="D392" s="446">
        <v>6470</v>
      </c>
      <c r="E392" s="446">
        <v>0</v>
      </c>
      <c r="F392" s="446">
        <v>0</v>
      </c>
      <c r="G392" s="446">
        <v>0</v>
      </c>
      <c r="H392" s="446">
        <v>0</v>
      </c>
      <c r="I392" s="446">
        <v>0</v>
      </c>
      <c r="J392" s="446">
        <v>0</v>
      </c>
      <c r="K392" s="446">
        <v>0</v>
      </c>
      <c r="L392" s="446">
        <v>0</v>
      </c>
      <c r="M392" s="446">
        <v>0</v>
      </c>
      <c r="N392" s="446">
        <v>0</v>
      </c>
      <c r="O392" s="446">
        <v>0</v>
      </c>
      <c r="P392" s="446">
        <v>0</v>
      </c>
      <c r="Q392" s="446">
        <v>0</v>
      </c>
      <c r="R392" s="446">
        <v>0</v>
      </c>
      <c r="S392" s="446">
        <v>0</v>
      </c>
      <c r="T392" s="447">
        <v>0</v>
      </c>
      <c r="U392" s="446">
        <v>830</v>
      </c>
      <c r="V392" s="446"/>
    </row>
    <row r="393" spans="1:22" ht="25.5" customHeight="1">
      <c r="A393" s="445">
        <v>46284</v>
      </c>
      <c r="B393" s="446" t="s">
        <v>19</v>
      </c>
      <c r="C393" s="446" t="s">
        <v>88</v>
      </c>
      <c r="D393" s="446">
        <v>8860</v>
      </c>
      <c r="E393" s="446">
        <v>0</v>
      </c>
      <c r="F393" s="446">
        <v>0</v>
      </c>
      <c r="G393" s="446">
        <v>0</v>
      </c>
      <c r="H393" s="446">
        <v>0</v>
      </c>
      <c r="I393" s="446">
        <v>0</v>
      </c>
      <c r="J393" s="446">
        <v>0</v>
      </c>
      <c r="K393" s="446">
        <v>0</v>
      </c>
      <c r="L393" s="446">
        <v>0</v>
      </c>
      <c r="M393" s="446">
        <v>0</v>
      </c>
      <c r="N393" s="446">
        <v>0</v>
      </c>
      <c r="O393" s="446">
        <v>0</v>
      </c>
      <c r="P393" s="446">
        <v>0</v>
      </c>
      <c r="Q393" s="446">
        <v>0</v>
      </c>
      <c r="R393" s="446">
        <v>0</v>
      </c>
      <c r="S393" s="446">
        <v>0</v>
      </c>
      <c r="T393" s="447">
        <v>0</v>
      </c>
      <c r="U393" s="446">
        <v>580</v>
      </c>
      <c r="V393" s="446"/>
    </row>
    <row r="394" spans="1:22" ht="25.5" customHeight="1">
      <c r="A394" s="445">
        <v>46284</v>
      </c>
      <c r="B394" s="446" t="s">
        <v>19</v>
      </c>
      <c r="C394" s="446" t="s">
        <v>107</v>
      </c>
      <c r="D394" s="446">
        <v>1951</v>
      </c>
      <c r="E394" s="446">
        <v>0</v>
      </c>
      <c r="F394" s="446">
        <v>0</v>
      </c>
      <c r="G394" s="446">
        <v>0</v>
      </c>
      <c r="H394" s="446">
        <v>0</v>
      </c>
      <c r="I394" s="446">
        <v>0</v>
      </c>
      <c r="J394" s="446">
        <v>0</v>
      </c>
      <c r="K394" s="446">
        <v>0</v>
      </c>
      <c r="L394" s="446">
        <v>0</v>
      </c>
      <c r="M394" s="446">
        <v>0</v>
      </c>
      <c r="N394" s="446">
        <v>0</v>
      </c>
      <c r="O394" s="446">
        <v>0</v>
      </c>
      <c r="P394" s="446">
        <v>0</v>
      </c>
      <c r="Q394" s="446">
        <v>0</v>
      </c>
      <c r="R394" s="446">
        <v>0</v>
      </c>
      <c r="S394" s="446">
        <v>0</v>
      </c>
      <c r="T394" s="447">
        <v>0</v>
      </c>
      <c r="U394" s="446">
        <v>489</v>
      </c>
      <c r="V394" s="446"/>
    </row>
    <row r="395" spans="1:22" ht="25.5" customHeight="1">
      <c r="A395" s="445">
        <v>46284</v>
      </c>
      <c r="B395" s="446" t="s">
        <v>20</v>
      </c>
      <c r="C395" s="446" t="s">
        <v>93</v>
      </c>
      <c r="D395" s="446">
        <v>1250</v>
      </c>
      <c r="E395" s="446">
        <v>0</v>
      </c>
      <c r="F395" s="446">
        <v>0</v>
      </c>
      <c r="G395" s="446">
        <v>0</v>
      </c>
      <c r="H395" s="446">
        <v>0</v>
      </c>
      <c r="I395" s="446">
        <v>0</v>
      </c>
      <c r="J395" s="446">
        <v>0</v>
      </c>
      <c r="K395" s="446">
        <v>0</v>
      </c>
      <c r="L395" s="446">
        <v>0</v>
      </c>
      <c r="M395" s="446">
        <v>0</v>
      </c>
      <c r="N395" s="446">
        <v>0</v>
      </c>
      <c r="O395" s="446">
        <v>0</v>
      </c>
      <c r="P395" s="446">
        <v>0</v>
      </c>
      <c r="Q395" s="446">
        <v>0</v>
      </c>
      <c r="R395" s="446">
        <v>0</v>
      </c>
      <c r="S395" s="446">
        <v>0</v>
      </c>
      <c r="T395" s="447">
        <v>0</v>
      </c>
      <c r="U395" s="446">
        <v>0</v>
      </c>
      <c r="V395" s="446"/>
    </row>
    <row r="396" spans="1:22" ht="25.5" customHeight="1">
      <c r="A396" s="445">
        <v>46284</v>
      </c>
      <c r="B396" s="446" t="s">
        <v>20</v>
      </c>
      <c r="C396" s="446" t="s">
        <v>105</v>
      </c>
      <c r="D396" s="446">
        <v>0</v>
      </c>
      <c r="E396" s="446">
        <v>0</v>
      </c>
      <c r="F396" s="446">
        <v>0</v>
      </c>
      <c r="G396" s="446">
        <v>0</v>
      </c>
      <c r="H396" s="446">
        <v>0</v>
      </c>
      <c r="I396" s="446">
        <v>0</v>
      </c>
      <c r="J396" s="446">
        <v>0</v>
      </c>
      <c r="K396" s="446">
        <v>0</v>
      </c>
      <c r="L396" s="446">
        <v>0</v>
      </c>
      <c r="M396" s="446">
        <v>0</v>
      </c>
      <c r="N396" s="446">
        <v>0</v>
      </c>
      <c r="O396" s="446">
        <v>0</v>
      </c>
      <c r="P396" s="446">
        <v>0</v>
      </c>
      <c r="Q396" s="446">
        <v>0</v>
      </c>
      <c r="R396" s="446">
        <v>0</v>
      </c>
      <c r="S396" s="446">
        <v>0</v>
      </c>
      <c r="T396" s="447">
        <v>0</v>
      </c>
      <c r="U396" s="446">
        <v>0</v>
      </c>
      <c r="V396" s="446"/>
    </row>
    <row r="397" spans="1:22" ht="25.5" customHeight="1">
      <c r="A397" s="445">
        <v>46284</v>
      </c>
      <c r="B397" s="446" t="s">
        <v>20</v>
      </c>
      <c r="C397" s="446" t="s">
        <v>102</v>
      </c>
      <c r="D397" s="446">
        <v>11766</v>
      </c>
      <c r="E397" s="446">
        <v>0</v>
      </c>
      <c r="F397" s="446">
        <v>0</v>
      </c>
      <c r="G397" s="446">
        <v>0</v>
      </c>
      <c r="H397" s="446">
        <v>0</v>
      </c>
      <c r="I397" s="446">
        <v>0</v>
      </c>
      <c r="J397" s="446">
        <v>0</v>
      </c>
      <c r="K397" s="446">
        <v>0</v>
      </c>
      <c r="L397" s="446">
        <v>0</v>
      </c>
      <c r="M397" s="446">
        <v>0</v>
      </c>
      <c r="N397" s="446">
        <v>0</v>
      </c>
      <c r="O397" s="446">
        <v>0</v>
      </c>
      <c r="P397" s="446">
        <v>0</v>
      </c>
      <c r="Q397" s="446">
        <v>0</v>
      </c>
      <c r="R397" s="446">
        <v>0</v>
      </c>
      <c r="S397" s="446">
        <v>0</v>
      </c>
      <c r="T397" s="447">
        <v>0</v>
      </c>
      <c r="U397" s="446">
        <v>1515</v>
      </c>
      <c r="V397" s="446"/>
    </row>
    <row r="398" spans="1:22" ht="25.5" customHeight="1">
      <c r="A398" s="445">
        <v>46284</v>
      </c>
      <c r="B398" s="446" t="s">
        <v>20</v>
      </c>
      <c r="C398" s="446" t="s">
        <v>111</v>
      </c>
      <c r="D398" s="446">
        <v>1210</v>
      </c>
      <c r="E398" s="446">
        <v>0</v>
      </c>
      <c r="F398" s="446">
        <v>0</v>
      </c>
      <c r="G398" s="446">
        <v>0</v>
      </c>
      <c r="H398" s="446">
        <v>0</v>
      </c>
      <c r="I398" s="446">
        <v>0</v>
      </c>
      <c r="J398" s="446">
        <v>0</v>
      </c>
      <c r="K398" s="446">
        <v>0</v>
      </c>
      <c r="L398" s="446">
        <v>0</v>
      </c>
      <c r="M398" s="446">
        <v>0</v>
      </c>
      <c r="N398" s="446">
        <v>0</v>
      </c>
      <c r="O398" s="446">
        <v>0</v>
      </c>
      <c r="P398" s="446">
        <v>0</v>
      </c>
      <c r="Q398" s="446">
        <v>0</v>
      </c>
      <c r="R398" s="446">
        <v>0</v>
      </c>
      <c r="S398" s="446">
        <v>0</v>
      </c>
      <c r="T398" s="447">
        <v>0</v>
      </c>
      <c r="U398" s="446">
        <v>130</v>
      </c>
      <c r="V398" s="446"/>
    </row>
    <row r="399" spans="1:22" ht="25.5" customHeight="1">
      <c r="A399" s="445">
        <v>46284</v>
      </c>
      <c r="B399" s="446" t="s">
        <v>21</v>
      </c>
      <c r="C399" s="446" t="s">
        <v>90</v>
      </c>
      <c r="D399" s="446">
        <v>11099</v>
      </c>
      <c r="E399" s="446">
        <v>0</v>
      </c>
      <c r="F399" s="446">
        <v>0</v>
      </c>
      <c r="G399" s="446">
        <v>0</v>
      </c>
      <c r="H399" s="446">
        <v>0</v>
      </c>
      <c r="I399" s="446">
        <v>0</v>
      </c>
      <c r="J399" s="446">
        <v>0</v>
      </c>
      <c r="K399" s="446">
        <v>0</v>
      </c>
      <c r="L399" s="446">
        <v>0</v>
      </c>
      <c r="M399" s="446">
        <v>0</v>
      </c>
      <c r="N399" s="446">
        <v>0</v>
      </c>
      <c r="O399" s="446">
        <v>0</v>
      </c>
      <c r="P399" s="446">
        <v>0</v>
      </c>
      <c r="Q399" s="446">
        <v>0</v>
      </c>
      <c r="R399" s="446">
        <v>0</v>
      </c>
      <c r="S399" s="446">
        <v>0</v>
      </c>
      <c r="T399" s="447">
        <v>0</v>
      </c>
      <c r="U399" s="446">
        <v>3392.8</v>
      </c>
      <c r="V399" s="446"/>
    </row>
    <row r="400" spans="1:22" ht="25.5" customHeight="1">
      <c r="A400" s="445">
        <v>46284</v>
      </c>
      <c r="B400" s="446" t="s">
        <v>21</v>
      </c>
      <c r="C400" s="446" t="s">
        <v>109</v>
      </c>
      <c r="D400" s="446">
        <v>7822</v>
      </c>
      <c r="E400" s="446">
        <v>0</v>
      </c>
      <c r="F400" s="446">
        <v>0</v>
      </c>
      <c r="G400" s="446">
        <v>0</v>
      </c>
      <c r="H400" s="446">
        <v>0</v>
      </c>
      <c r="I400" s="446">
        <v>0</v>
      </c>
      <c r="J400" s="446">
        <v>0</v>
      </c>
      <c r="K400" s="446">
        <v>0</v>
      </c>
      <c r="L400" s="446">
        <v>0</v>
      </c>
      <c r="M400" s="446">
        <v>0</v>
      </c>
      <c r="N400" s="446">
        <v>0</v>
      </c>
      <c r="O400" s="446">
        <v>0</v>
      </c>
      <c r="P400" s="446">
        <v>0</v>
      </c>
      <c r="Q400" s="446">
        <v>0</v>
      </c>
      <c r="R400" s="446">
        <v>0</v>
      </c>
      <c r="S400" s="446">
        <v>0</v>
      </c>
      <c r="T400" s="447">
        <v>0</v>
      </c>
      <c r="U400" s="446">
        <v>763</v>
      </c>
      <c r="V400" s="446"/>
    </row>
    <row r="401" spans="1:22" ht="25.5" customHeight="1">
      <c r="A401" s="445">
        <v>46284</v>
      </c>
      <c r="B401" s="446" t="s">
        <v>21</v>
      </c>
      <c r="C401" s="446" t="s">
        <v>103</v>
      </c>
      <c r="D401" s="446">
        <v>5124</v>
      </c>
      <c r="E401" s="446">
        <v>0</v>
      </c>
      <c r="F401" s="446">
        <v>0</v>
      </c>
      <c r="G401" s="446">
        <v>0</v>
      </c>
      <c r="H401" s="446">
        <v>0</v>
      </c>
      <c r="I401" s="446">
        <v>0</v>
      </c>
      <c r="J401" s="446">
        <v>0</v>
      </c>
      <c r="K401" s="446">
        <v>0</v>
      </c>
      <c r="L401" s="446">
        <v>0</v>
      </c>
      <c r="M401" s="446">
        <v>0</v>
      </c>
      <c r="N401" s="446">
        <v>0</v>
      </c>
      <c r="O401" s="446">
        <v>0</v>
      </c>
      <c r="P401" s="446">
        <v>0</v>
      </c>
      <c r="Q401" s="446">
        <v>0</v>
      </c>
      <c r="R401" s="446">
        <v>0</v>
      </c>
      <c r="S401" s="446">
        <v>0</v>
      </c>
      <c r="T401" s="447">
        <v>0</v>
      </c>
      <c r="U401" s="446">
        <v>1114</v>
      </c>
      <c r="V401" s="446"/>
    </row>
    <row r="402" spans="1:22" ht="25.5" customHeight="1">
      <c r="A402" s="445">
        <v>46284</v>
      </c>
      <c r="B402" s="446" t="s">
        <v>21</v>
      </c>
      <c r="C402" s="446" t="s">
        <v>112</v>
      </c>
      <c r="D402" s="446">
        <v>0</v>
      </c>
      <c r="E402" s="446">
        <v>0</v>
      </c>
      <c r="F402" s="446">
        <v>0</v>
      </c>
      <c r="G402" s="446">
        <v>0</v>
      </c>
      <c r="H402" s="446">
        <v>0</v>
      </c>
      <c r="I402" s="446">
        <v>0</v>
      </c>
      <c r="J402" s="446">
        <v>0</v>
      </c>
      <c r="K402" s="446">
        <v>0</v>
      </c>
      <c r="L402" s="446">
        <v>0</v>
      </c>
      <c r="M402" s="446">
        <v>0</v>
      </c>
      <c r="N402" s="446">
        <v>0</v>
      </c>
      <c r="O402" s="446">
        <v>0</v>
      </c>
      <c r="P402" s="446">
        <v>0</v>
      </c>
      <c r="Q402" s="446">
        <v>0</v>
      </c>
      <c r="R402" s="446">
        <v>0</v>
      </c>
      <c r="S402" s="446">
        <v>0</v>
      </c>
      <c r="T402" s="447">
        <v>0</v>
      </c>
      <c r="U402" s="446">
        <v>0</v>
      </c>
      <c r="V402" s="446"/>
    </row>
    <row r="403" spans="1:22" ht="25.5" customHeight="1">
      <c r="A403" s="445">
        <v>46285</v>
      </c>
      <c r="B403" s="446" t="s">
        <v>17</v>
      </c>
      <c r="C403" s="446" t="s">
        <v>96</v>
      </c>
      <c r="D403" s="446">
        <v>4712</v>
      </c>
      <c r="E403" s="446">
        <v>0</v>
      </c>
      <c r="F403" s="446">
        <v>0</v>
      </c>
      <c r="G403" s="446">
        <v>0</v>
      </c>
      <c r="H403" s="446">
        <v>0</v>
      </c>
      <c r="I403" s="446">
        <v>0</v>
      </c>
      <c r="J403" s="446">
        <v>0</v>
      </c>
      <c r="K403" s="446">
        <v>0</v>
      </c>
      <c r="L403" s="446">
        <v>0</v>
      </c>
      <c r="M403" s="446">
        <v>0</v>
      </c>
      <c r="N403" s="446">
        <v>0</v>
      </c>
      <c r="O403" s="446">
        <v>0</v>
      </c>
      <c r="P403" s="446">
        <v>0</v>
      </c>
      <c r="Q403" s="446">
        <v>0</v>
      </c>
      <c r="R403" s="446">
        <v>0</v>
      </c>
      <c r="S403" s="446">
        <v>0</v>
      </c>
      <c r="T403" s="447">
        <v>0</v>
      </c>
      <c r="U403" s="446">
        <v>588</v>
      </c>
      <c r="V403" s="446"/>
    </row>
    <row r="404" spans="1:22" ht="25.5" customHeight="1">
      <c r="A404" s="445">
        <v>46285</v>
      </c>
      <c r="B404" s="446" t="s">
        <v>17</v>
      </c>
      <c r="C404" s="446" t="s">
        <v>108</v>
      </c>
      <c r="D404" s="446">
        <v>5386</v>
      </c>
      <c r="E404" s="446">
        <v>0</v>
      </c>
      <c r="F404" s="446">
        <v>0</v>
      </c>
      <c r="G404" s="446">
        <v>0</v>
      </c>
      <c r="H404" s="446">
        <v>0</v>
      </c>
      <c r="I404" s="446">
        <v>0</v>
      </c>
      <c r="J404" s="446">
        <v>0</v>
      </c>
      <c r="K404" s="446">
        <v>0</v>
      </c>
      <c r="L404" s="446">
        <v>0</v>
      </c>
      <c r="M404" s="446">
        <v>0</v>
      </c>
      <c r="N404" s="446">
        <v>0</v>
      </c>
      <c r="O404" s="446">
        <v>0</v>
      </c>
      <c r="P404" s="446">
        <v>0</v>
      </c>
      <c r="Q404" s="446">
        <v>0</v>
      </c>
      <c r="R404" s="446">
        <v>0</v>
      </c>
      <c r="S404" s="446">
        <v>0</v>
      </c>
      <c r="T404" s="447">
        <v>0</v>
      </c>
      <c r="U404" s="446">
        <v>1504</v>
      </c>
      <c r="V404" s="446"/>
    </row>
    <row r="405" spans="1:22" ht="25.5" customHeight="1">
      <c r="A405" s="445">
        <v>46285</v>
      </c>
      <c r="B405" s="446" t="s">
        <v>17</v>
      </c>
      <c r="C405" s="446" t="s">
        <v>101</v>
      </c>
      <c r="D405" s="446">
        <v>0</v>
      </c>
      <c r="E405" s="446">
        <v>0</v>
      </c>
      <c r="F405" s="446">
        <v>0</v>
      </c>
      <c r="G405" s="446">
        <v>0</v>
      </c>
      <c r="H405" s="446">
        <v>0</v>
      </c>
      <c r="I405" s="446">
        <v>0</v>
      </c>
      <c r="J405" s="446">
        <v>0</v>
      </c>
      <c r="K405" s="446">
        <v>0</v>
      </c>
      <c r="L405" s="446">
        <v>0</v>
      </c>
      <c r="M405" s="446">
        <v>0</v>
      </c>
      <c r="N405" s="446">
        <v>0</v>
      </c>
      <c r="O405" s="446">
        <v>0</v>
      </c>
      <c r="P405" s="446">
        <v>0</v>
      </c>
      <c r="Q405" s="446">
        <v>0</v>
      </c>
      <c r="R405" s="446">
        <v>0</v>
      </c>
      <c r="S405" s="446">
        <v>0</v>
      </c>
      <c r="T405" s="447">
        <v>0</v>
      </c>
      <c r="U405" s="446">
        <v>0</v>
      </c>
      <c r="V405" s="446"/>
    </row>
    <row r="406" spans="1:22" ht="25.5" customHeight="1">
      <c r="A406" s="445">
        <v>46285</v>
      </c>
      <c r="B406" s="446" t="s">
        <v>17</v>
      </c>
      <c r="C406" s="446" t="s">
        <v>106</v>
      </c>
      <c r="D406" s="446">
        <v>4529</v>
      </c>
      <c r="E406" s="446">
        <v>0</v>
      </c>
      <c r="F406" s="446">
        <v>0</v>
      </c>
      <c r="G406" s="446">
        <v>0</v>
      </c>
      <c r="H406" s="446">
        <v>0</v>
      </c>
      <c r="I406" s="446">
        <v>0</v>
      </c>
      <c r="J406" s="446">
        <v>0</v>
      </c>
      <c r="K406" s="446">
        <v>0</v>
      </c>
      <c r="L406" s="446">
        <v>0</v>
      </c>
      <c r="M406" s="446">
        <v>0</v>
      </c>
      <c r="N406" s="446">
        <v>0</v>
      </c>
      <c r="O406" s="446">
        <v>0</v>
      </c>
      <c r="P406" s="446">
        <v>0</v>
      </c>
      <c r="Q406" s="446">
        <v>0</v>
      </c>
      <c r="R406" s="446">
        <v>0</v>
      </c>
      <c r="S406" s="446">
        <v>0</v>
      </c>
      <c r="T406" s="447">
        <v>0</v>
      </c>
      <c r="U406" s="446">
        <v>389</v>
      </c>
      <c r="V406" s="446"/>
    </row>
    <row r="407" spans="1:22" ht="25.5" customHeight="1">
      <c r="A407" s="445">
        <v>46285</v>
      </c>
      <c r="B407" s="446" t="s">
        <v>22</v>
      </c>
      <c r="C407" s="446" t="s">
        <v>23</v>
      </c>
      <c r="D407" s="446">
        <v>10750</v>
      </c>
      <c r="E407" s="446">
        <v>0</v>
      </c>
      <c r="F407" s="446">
        <v>0</v>
      </c>
      <c r="G407" s="446">
        <v>0</v>
      </c>
      <c r="H407" s="446">
        <v>0</v>
      </c>
      <c r="I407" s="446">
        <v>0</v>
      </c>
      <c r="J407" s="446">
        <v>0</v>
      </c>
      <c r="K407" s="446">
        <v>0</v>
      </c>
      <c r="L407" s="446">
        <v>0</v>
      </c>
      <c r="M407" s="446">
        <v>0</v>
      </c>
      <c r="N407" s="446">
        <v>0</v>
      </c>
      <c r="O407" s="446">
        <v>0</v>
      </c>
      <c r="P407" s="446">
        <v>0</v>
      </c>
      <c r="Q407" s="446">
        <v>0</v>
      </c>
      <c r="R407" s="446">
        <v>0</v>
      </c>
      <c r="S407" s="446">
        <v>0</v>
      </c>
      <c r="T407" s="447">
        <v>0</v>
      </c>
      <c r="U407" s="446">
        <v>100</v>
      </c>
      <c r="V407" s="446"/>
    </row>
    <row r="408" spans="1:22" ht="25.5" customHeight="1">
      <c r="A408" s="445">
        <v>46285</v>
      </c>
      <c r="B408" s="446" t="s">
        <v>18</v>
      </c>
      <c r="C408" s="446" t="s">
        <v>97</v>
      </c>
      <c r="D408" s="446">
        <v>2160</v>
      </c>
      <c r="E408" s="446">
        <v>0</v>
      </c>
      <c r="F408" s="446">
        <v>0</v>
      </c>
      <c r="G408" s="446">
        <v>0</v>
      </c>
      <c r="H408" s="446">
        <v>0</v>
      </c>
      <c r="I408" s="446">
        <v>0</v>
      </c>
      <c r="J408" s="446">
        <v>0</v>
      </c>
      <c r="K408" s="446">
        <v>0</v>
      </c>
      <c r="L408" s="446">
        <v>0</v>
      </c>
      <c r="M408" s="446">
        <v>0</v>
      </c>
      <c r="N408" s="446">
        <v>0</v>
      </c>
      <c r="O408" s="446">
        <v>0</v>
      </c>
      <c r="P408" s="446">
        <v>0</v>
      </c>
      <c r="Q408" s="446">
        <v>0</v>
      </c>
      <c r="R408" s="446">
        <v>0</v>
      </c>
      <c r="S408" s="446">
        <v>0</v>
      </c>
      <c r="T408" s="447">
        <v>0</v>
      </c>
      <c r="U408" s="446">
        <v>470</v>
      </c>
      <c r="V408" s="446"/>
    </row>
    <row r="409" spans="1:22" ht="25.5" customHeight="1">
      <c r="A409" s="445">
        <v>46285</v>
      </c>
      <c r="B409" s="446" t="s">
        <v>18</v>
      </c>
      <c r="C409" s="446" t="s">
        <v>98</v>
      </c>
      <c r="D409" s="446">
        <v>5570.4</v>
      </c>
      <c r="E409" s="446">
        <v>0</v>
      </c>
      <c r="F409" s="446">
        <v>0</v>
      </c>
      <c r="G409" s="446">
        <v>0</v>
      </c>
      <c r="H409" s="446">
        <v>0</v>
      </c>
      <c r="I409" s="446">
        <v>0</v>
      </c>
      <c r="J409" s="446">
        <v>0</v>
      </c>
      <c r="K409" s="446">
        <v>0</v>
      </c>
      <c r="L409" s="446">
        <v>0</v>
      </c>
      <c r="M409" s="446">
        <v>0</v>
      </c>
      <c r="N409" s="446">
        <v>0</v>
      </c>
      <c r="O409" s="446">
        <v>0</v>
      </c>
      <c r="P409" s="446">
        <v>0</v>
      </c>
      <c r="Q409" s="446">
        <v>0</v>
      </c>
      <c r="R409" s="446">
        <v>0</v>
      </c>
      <c r="S409" s="446">
        <v>0</v>
      </c>
      <c r="T409" s="447">
        <v>0</v>
      </c>
      <c r="U409" s="446">
        <v>690</v>
      </c>
      <c r="V409" s="446"/>
    </row>
    <row r="410" spans="1:22" ht="25.5" customHeight="1">
      <c r="A410" s="445">
        <v>46285</v>
      </c>
      <c r="B410" s="446" t="s">
        <v>18</v>
      </c>
      <c r="C410" s="446" t="s">
        <v>110</v>
      </c>
      <c r="D410" s="446">
        <v>0</v>
      </c>
      <c r="E410" s="446">
        <v>0</v>
      </c>
      <c r="F410" s="446">
        <v>0</v>
      </c>
      <c r="G410" s="446">
        <v>0</v>
      </c>
      <c r="H410" s="446">
        <v>0</v>
      </c>
      <c r="I410" s="446">
        <v>0</v>
      </c>
      <c r="J410" s="446">
        <v>0</v>
      </c>
      <c r="K410" s="446">
        <v>0</v>
      </c>
      <c r="L410" s="446">
        <v>0</v>
      </c>
      <c r="M410" s="446">
        <v>0</v>
      </c>
      <c r="N410" s="446">
        <v>0</v>
      </c>
      <c r="O410" s="446">
        <v>0</v>
      </c>
      <c r="P410" s="446">
        <v>0</v>
      </c>
      <c r="Q410" s="446">
        <v>0</v>
      </c>
      <c r="R410" s="446">
        <v>0</v>
      </c>
      <c r="S410" s="446">
        <v>0</v>
      </c>
      <c r="T410" s="447">
        <v>0</v>
      </c>
      <c r="U410" s="446">
        <v>0</v>
      </c>
      <c r="V410" s="446"/>
    </row>
    <row r="411" spans="1:22" ht="25.5" customHeight="1">
      <c r="A411" s="445">
        <v>46285</v>
      </c>
      <c r="B411" s="446" t="s">
        <v>19</v>
      </c>
      <c r="C411" s="446" t="s">
        <v>99</v>
      </c>
      <c r="D411" s="446">
        <v>200</v>
      </c>
      <c r="E411" s="446">
        <v>0</v>
      </c>
      <c r="F411" s="446">
        <v>0</v>
      </c>
      <c r="G411" s="446">
        <v>0</v>
      </c>
      <c r="H411" s="446">
        <v>0</v>
      </c>
      <c r="I411" s="446">
        <v>0</v>
      </c>
      <c r="J411" s="446">
        <v>0</v>
      </c>
      <c r="K411" s="446">
        <v>0</v>
      </c>
      <c r="L411" s="446">
        <v>0</v>
      </c>
      <c r="M411" s="446">
        <v>0</v>
      </c>
      <c r="N411" s="446">
        <v>0</v>
      </c>
      <c r="O411" s="446">
        <v>0</v>
      </c>
      <c r="P411" s="446">
        <v>0</v>
      </c>
      <c r="Q411" s="446">
        <v>0</v>
      </c>
      <c r="R411" s="446">
        <v>0</v>
      </c>
      <c r="S411" s="446">
        <v>0</v>
      </c>
      <c r="T411" s="447">
        <v>0</v>
      </c>
      <c r="U411" s="446">
        <v>0</v>
      </c>
      <c r="V411" s="446"/>
    </row>
    <row r="412" spans="1:22" ht="25.5" customHeight="1">
      <c r="A412" s="445">
        <v>46285</v>
      </c>
      <c r="B412" s="446" t="s">
        <v>19</v>
      </c>
      <c r="C412" s="446" t="s">
        <v>88</v>
      </c>
      <c r="D412" s="446">
        <v>9460</v>
      </c>
      <c r="E412" s="446">
        <v>0</v>
      </c>
      <c r="F412" s="446">
        <v>0</v>
      </c>
      <c r="G412" s="446">
        <v>0</v>
      </c>
      <c r="H412" s="446">
        <v>0</v>
      </c>
      <c r="I412" s="446">
        <v>0</v>
      </c>
      <c r="J412" s="446">
        <v>0</v>
      </c>
      <c r="K412" s="446">
        <v>0</v>
      </c>
      <c r="L412" s="446">
        <v>0</v>
      </c>
      <c r="M412" s="446">
        <v>0</v>
      </c>
      <c r="N412" s="446">
        <v>0</v>
      </c>
      <c r="O412" s="446">
        <v>0</v>
      </c>
      <c r="P412" s="446">
        <v>0</v>
      </c>
      <c r="Q412" s="446">
        <v>0</v>
      </c>
      <c r="R412" s="446">
        <v>0</v>
      </c>
      <c r="S412" s="446">
        <v>0</v>
      </c>
      <c r="T412" s="447">
        <v>0</v>
      </c>
      <c r="U412" s="446">
        <v>50</v>
      </c>
      <c r="V412" s="446"/>
    </row>
    <row r="413" spans="1:22" ht="25.5" customHeight="1">
      <c r="A413" s="445">
        <v>46285</v>
      </c>
      <c r="B413" s="446" t="s">
        <v>19</v>
      </c>
      <c r="C413" s="446" t="s">
        <v>107</v>
      </c>
      <c r="D413" s="446">
        <v>0</v>
      </c>
      <c r="E413" s="446">
        <v>0</v>
      </c>
      <c r="F413" s="446">
        <v>0</v>
      </c>
      <c r="G413" s="446">
        <v>0</v>
      </c>
      <c r="H413" s="446">
        <v>0</v>
      </c>
      <c r="I413" s="446">
        <v>0</v>
      </c>
      <c r="J413" s="446">
        <v>0</v>
      </c>
      <c r="K413" s="446">
        <v>0</v>
      </c>
      <c r="L413" s="446">
        <v>0</v>
      </c>
      <c r="M413" s="446">
        <v>0</v>
      </c>
      <c r="N413" s="446">
        <v>0</v>
      </c>
      <c r="O413" s="446">
        <v>0</v>
      </c>
      <c r="P413" s="446">
        <v>0</v>
      </c>
      <c r="Q413" s="446">
        <v>0</v>
      </c>
      <c r="R413" s="446">
        <v>0</v>
      </c>
      <c r="S413" s="446">
        <v>0</v>
      </c>
      <c r="T413" s="447">
        <v>0</v>
      </c>
      <c r="U413" s="446">
        <v>0</v>
      </c>
      <c r="V413" s="446"/>
    </row>
    <row r="414" spans="1:22" ht="25.5" customHeight="1">
      <c r="A414" s="445">
        <v>46285</v>
      </c>
      <c r="B414" s="446" t="s">
        <v>20</v>
      </c>
      <c r="C414" s="446" t="s">
        <v>93</v>
      </c>
      <c r="D414" s="446">
        <v>2451.1999999999998</v>
      </c>
      <c r="E414" s="446">
        <v>0</v>
      </c>
      <c r="F414" s="446">
        <v>0</v>
      </c>
      <c r="G414" s="446">
        <v>0</v>
      </c>
      <c r="H414" s="446">
        <v>0</v>
      </c>
      <c r="I414" s="446">
        <v>0</v>
      </c>
      <c r="J414" s="446">
        <v>0</v>
      </c>
      <c r="K414" s="446">
        <v>0</v>
      </c>
      <c r="L414" s="446">
        <v>0</v>
      </c>
      <c r="M414" s="446">
        <v>0</v>
      </c>
      <c r="N414" s="446">
        <v>0</v>
      </c>
      <c r="O414" s="446">
        <v>0</v>
      </c>
      <c r="P414" s="446">
        <v>0</v>
      </c>
      <c r="Q414" s="446">
        <v>0</v>
      </c>
      <c r="R414" s="446">
        <v>0</v>
      </c>
      <c r="S414" s="446">
        <v>0</v>
      </c>
      <c r="T414" s="447">
        <v>0</v>
      </c>
      <c r="U414" s="446">
        <v>0</v>
      </c>
      <c r="V414" s="446"/>
    </row>
    <row r="415" spans="1:22" ht="25.5" customHeight="1">
      <c r="A415" s="445">
        <v>46285</v>
      </c>
      <c r="B415" s="446" t="s">
        <v>20</v>
      </c>
      <c r="C415" s="446" t="s">
        <v>105</v>
      </c>
      <c r="D415" s="446">
        <v>11336.2</v>
      </c>
      <c r="E415" s="446">
        <v>0</v>
      </c>
      <c r="F415" s="446">
        <v>0</v>
      </c>
      <c r="G415" s="446">
        <v>0</v>
      </c>
      <c r="H415" s="446">
        <v>0</v>
      </c>
      <c r="I415" s="446">
        <v>0</v>
      </c>
      <c r="J415" s="446">
        <v>0</v>
      </c>
      <c r="K415" s="446">
        <v>0</v>
      </c>
      <c r="L415" s="446">
        <v>0</v>
      </c>
      <c r="M415" s="446">
        <v>0</v>
      </c>
      <c r="N415" s="446">
        <v>0</v>
      </c>
      <c r="O415" s="446">
        <v>0</v>
      </c>
      <c r="P415" s="446">
        <v>0</v>
      </c>
      <c r="Q415" s="446">
        <v>0</v>
      </c>
      <c r="R415" s="446">
        <v>0</v>
      </c>
      <c r="S415" s="446">
        <v>0</v>
      </c>
      <c r="T415" s="447">
        <v>0</v>
      </c>
      <c r="U415" s="446">
        <v>3000</v>
      </c>
      <c r="V415" s="446"/>
    </row>
    <row r="416" spans="1:22" ht="25.5" customHeight="1">
      <c r="A416" s="445">
        <v>46285</v>
      </c>
      <c r="B416" s="446" t="s">
        <v>20</v>
      </c>
      <c r="C416" s="446" t="s">
        <v>102</v>
      </c>
      <c r="D416" s="446">
        <v>1449.4</v>
      </c>
      <c r="E416" s="446">
        <v>0</v>
      </c>
      <c r="F416" s="446">
        <v>0</v>
      </c>
      <c r="G416" s="446">
        <v>0</v>
      </c>
      <c r="H416" s="446">
        <v>0</v>
      </c>
      <c r="I416" s="446">
        <v>0</v>
      </c>
      <c r="J416" s="446">
        <v>0</v>
      </c>
      <c r="K416" s="446">
        <v>0</v>
      </c>
      <c r="L416" s="446">
        <v>0</v>
      </c>
      <c r="M416" s="446">
        <v>0</v>
      </c>
      <c r="N416" s="446">
        <v>0</v>
      </c>
      <c r="O416" s="446">
        <v>0</v>
      </c>
      <c r="P416" s="446">
        <v>0</v>
      </c>
      <c r="Q416" s="446">
        <v>0</v>
      </c>
      <c r="R416" s="446">
        <v>0</v>
      </c>
      <c r="S416" s="446">
        <v>0</v>
      </c>
      <c r="T416" s="447">
        <v>0</v>
      </c>
      <c r="U416" s="446">
        <v>595</v>
      </c>
      <c r="V416" s="446"/>
    </row>
    <row r="417" spans="1:22" ht="25.5" customHeight="1">
      <c r="A417" s="445">
        <v>46285</v>
      </c>
      <c r="B417" s="446" t="s">
        <v>20</v>
      </c>
      <c r="C417" s="446" t="s">
        <v>111</v>
      </c>
      <c r="D417" s="446">
        <v>0</v>
      </c>
      <c r="E417" s="446">
        <v>0</v>
      </c>
      <c r="F417" s="446">
        <v>0</v>
      </c>
      <c r="G417" s="446">
        <v>0</v>
      </c>
      <c r="H417" s="446">
        <v>0</v>
      </c>
      <c r="I417" s="446">
        <v>0</v>
      </c>
      <c r="J417" s="446">
        <v>0</v>
      </c>
      <c r="K417" s="446">
        <v>0</v>
      </c>
      <c r="L417" s="446">
        <v>0</v>
      </c>
      <c r="M417" s="446">
        <v>0</v>
      </c>
      <c r="N417" s="446">
        <v>0</v>
      </c>
      <c r="O417" s="446">
        <v>0</v>
      </c>
      <c r="P417" s="446">
        <v>0</v>
      </c>
      <c r="Q417" s="446">
        <v>0</v>
      </c>
      <c r="R417" s="446">
        <v>0</v>
      </c>
      <c r="S417" s="446">
        <v>0</v>
      </c>
      <c r="T417" s="447">
        <v>0</v>
      </c>
      <c r="U417" s="446">
        <v>0</v>
      </c>
      <c r="V417" s="446"/>
    </row>
    <row r="418" spans="1:22" ht="25.5" customHeight="1">
      <c r="A418" s="445">
        <v>46285</v>
      </c>
      <c r="B418" s="446" t="s">
        <v>21</v>
      </c>
      <c r="C418" s="446" t="s">
        <v>90</v>
      </c>
      <c r="D418" s="446">
        <v>138</v>
      </c>
      <c r="E418" s="446">
        <v>0</v>
      </c>
      <c r="F418" s="446">
        <v>0</v>
      </c>
      <c r="G418" s="446">
        <v>0</v>
      </c>
      <c r="H418" s="446">
        <v>0</v>
      </c>
      <c r="I418" s="446">
        <v>0</v>
      </c>
      <c r="J418" s="446">
        <v>0</v>
      </c>
      <c r="K418" s="446">
        <v>0</v>
      </c>
      <c r="L418" s="446">
        <v>0</v>
      </c>
      <c r="M418" s="446">
        <v>0</v>
      </c>
      <c r="N418" s="446">
        <v>0</v>
      </c>
      <c r="O418" s="446">
        <v>0</v>
      </c>
      <c r="P418" s="446">
        <v>0</v>
      </c>
      <c r="Q418" s="446">
        <v>0</v>
      </c>
      <c r="R418" s="446">
        <v>0</v>
      </c>
      <c r="S418" s="446">
        <v>0</v>
      </c>
      <c r="T418" s="447">
        <v>0</v>
      </c>
      <c r="U418" s="446">
        <v>0</v>
      </c>
      <c r="V418" s="446"/>
    </row>
    <row r="419" spans="1:22" ht="25.5" customHeight="1">
      <c r="A419" s="445">
        <v>46285</v>
      </c>
      <c r="B419" s="446" t="s">
        <v>21</v>
      </c>
      <c r="C419" s="446" t="s">
        <v>109</v>
      </c>
      <c r="D419" s="446">
        <v>-100</v>
      </c>
      <c r="E419" s="446">
        <v>0</v>
      </c>
      <c r="F419" s="446">
        <v>0</v>
      </c>
      <c r="G419" s="446">
        <v>0</v>
      </c>
      <c r="H419" s="446">
        <v>0</v>
      </c>
      <c r="I419" s="446">
        <v>0</v>
      </c>
      <c r="J419" s="446">
        <v>0</v>
      </c>
      <c r="K419" s="446">
        <v>0</v>
      </c>
      <c r="L419" s="446">
        <v>0</v>
      </c>
      <c r="M419" s="446">
        <v>0</v>
      </c>
      <c r="N419" s="446">
        <v>0</v>
      </c>
      <c r="O419" s="446">
        <v>0</v>
      </c>
      <c r="P419" s="446">
        <v>0</v>
      </c>
      <c r="Q419" s="446">
        <v>0</v>
      </c>
      <c r="R419" s="446">
        <v>0</v>
      </c>
      <c r="S419" s="446">
        <v>0</v>
      </c>
      <c r="T419" s="447">
        <v>0</v>
      </c>
      <c r="U419" s="446">
        <v>0</v>
      </c>
      <c r="V419" s="446"/>
    </row>
    <row r="420" spans="1:22" ht="25.5" customHeight="1">
      <c r="A420" s="445">
        <v>46285</v>
      </c>
      <c r="B420" s="446" t="s">
        <v>21</v>
      </c>
      <c r="C420" s="446" t="s">
        <v>103</v>
      </c>
      <c r="D420" s="446">
        <v>2600</v>
      </c>
      <c r="E420" s="446">
        <v>0</v>
      </c>
      <c r="F420" s="446">
        <v>0</v>
      </c>
      <c r="G420" s="446">
        <v>0</v>
      </c>
      <c r="H420" s="446">
        <v>0</v>
      </c>
      <c r="I420" s="446">
        <v>0</v>
      </c>
      <c r="J420" s="446">
        <v>0</v>
      </c>
      <c r="K420" s="446">
        <v>0</v>
      </c>
      <c r="L420" s="446">
        <v>0</v>
      </c>
      <c r="M420" s="446">
        <v>0</v>
      </c>
      <c r="N420" s="446">
        <v>0</v>
      </c>
      <c r="O420" s="446">
        <v>0</v>
      </c>
      <c r="P420" s="446">
        <v>0</v>
      </c>
      <c r="Q420" s="446">
        <v>0</v>
      </c>
      <c r="R420" s="446">
        <v>0</v>
      </c>
      <c r="S420" s="446">
        <v>0</v>
      </c>
      <c r="T420" s="447">
        <v>0</v>
      </c>
      <c r="U420" s="446">
        <v>0</v>
      </c>
      <c r="V420" s="446"/>
    </row>
    <row r="421" spans="1:22" ht="25.5" customHeight="1">
      <c r="A421" s="445">
        <v>46285</v>
      </c>
      <c r="B421" s="446" t="s">
        <v>21</v>
      </c>
      <c r="C421" s="446" t="s">
        <v>112</v>
      </c>
      <c r="D421" s="446">
        <v>2200</v>
      </c>
      <c r="E421" s="446">
        <v>0</v>
      </c>
      <c r="F421" s="446">
        <v>0</v>
      </c>
      <c r="G421" s="446">
        <v>0</v>
      </c>
      <c r="H421" s="446">
        <v>0</v>
      </c>
      <c r="I421" s="446">
        <v>0</v>
      </c>
      <c r="J421" s="446">
        <v>0</v>
      </c>
      <c r="K421" s="446">
        <v>0</v>
      </c>
      <c r="L421" s="446">
        <v>0</v>
      </c>
      <c r="M421" s="446">
        <v>0</v>
      </c>
      <c r="N421" s="446">
        <v>0</v>
      </c>
      <c r="O421" s="446">
        <v>0</v>
      </c>
      <c r="P421" s="446">
        <v>0</v>
      </c>
      <c r="Q421" s="446">
        <v>0</v>
      </c>
      <c r="R421" s="446">
        <v>0</v>
      </c>
      <c r="S421" s="446">
        <v>0</v>
      </c>
      <c r="T421" s="447">
        <v>0</v>
      </c>
      <c r="U421" s="446">
        <v>0</v>
      </c>
      <c r="V421" s="446"/>
    </row>
    <row r="422" spans="1:22" ht="25.5" customHeight="1">
      <c r="A422" s="445">
        <v>46286</v>
      </c>
      <c r="B422" s="446" t="s">
        <v>17</v>
      </c>
      <c r="C422" s="446" t="s">
        <v>96</v>
      </c>
      <c r="D422" s="446">
        <v>0</v>
      </c>
      <c r="E422" s="446">
        <v>0</v>
      </c>
      <c r="F422" s="446">
        <v>0</v>
      </c>
      <c r="G422" s="446">
        <v>0</v>
      </c>
      <c r="H422" s="446">
        <v>0</v>
      </c>
      <c r="I422" s="446">
        <v>0</v>
      </c>
      <c r="J422" s="446">
        <v>0</v>
      </c>
      <c r="K422" s="446">
        <v>0</v>
      </c>
      <c r="L422" s="446">
        <v>0</v>
      </c>
      <c r="M422" s="446">
        <v>0</v>
      </c>
      <c r="N422" s="446">
        <v>0</v>
      </c>
      <c r="O422" s="446">
        <v>0</v>
      </c>
      <c r="P422" s="446">
        <v>0</v>
      </c>
      <c r="Q422" s="446">
        <v>0</v>
      </c>
      <c r="R422" s="446">
        <v>0</v>
      </c>
      <c r="S422" s="446">
        <v>0</v>
      </c>
      <c r="T422" s="447">
        <v>0</v>
      </c>
      <c r="U422" s="446">
        <v>0</v>
      </c>
      <c r="V422" s="446"/>
    </row>
    <row r="423" spans="1:22" ht="25.5" customHeight="1">
      <c r="A423" s="445">
        <v>46286</v>
      </c>
      <c r="B423" s="446" t="s">
        <v>17</v>
      </c>
      <c r="C423" s="446" t="s">
        <v>108</v>
      </c>
      <c r="D423" s="446">
        <v>2300</v>
      </c>
      <c r="E423" s="446">
        <v>0</v>
      </c>
      <c r="F423" s="446">
        <v>0</v>
      </c>
      <c r="G423" s="446">
        <v>0</v>
      </c>
      <c r="H423" s="446">
        <v>0</v>
      </c>
      <c r="I423" s="446">
        <v>0</v>
      </c>
      <c r="J423" s="446">
        <v>0</v>
      </c>
      <c r="K423" s="446">
        <v>0</v>
      </c>
      <c r="L423" s="446">
        <v>0</v>
      </c>
      <c r="M423" s="446">
        <v>0</v>
      </c>
      <c r="N423" s="446">
        <v>0</v>
      </c>
      <c r="O423" s="446">
        <v>0</v>
      </c>
      <c r="P423" s="446">
        <v>0</v>
      </c>
      <c r="Q423" s="446">
        <v>0</v>
      </c>
      <c r="R423" s="446">
        <v>0</v>
      </c>
      <c r="S423" s="446">
        <v>0</v>
      </c>
      <c r="T423" s="447">
        <v>0</v>
      </c>
      <c r="U423" s="446">
        <v>0</v>
      </c>
      <c r="V423" s="446"/>
    </row>
    <row r="424" spans="1:22" ht="25.5" customHeight="1">
      <c r="A424" s="445">
        <v>46286</v>
      </c>
      <c r="B424" s="446" t="s">
        <v>17</v>
      </c>
      <c r="C424" s="446" t="s">
        <v>101</v>
      </c>
      <c r="D424" s="446">
        <v>3320</v>
      </c>
      <c r="E424" s="446">
        <v>0</v>
      </c>
      <c r="F424" s="446">
        <v>0</v>
      </c>
      <c r="G424" s="446">
        <v>0</v>
      </c>
      <c r="H424" s="446">
        <v>0</v>
      </c>
      <c r="I424" s="446">
        <v>0</v>
      </c>
      <c r="J424" s="446">
        <v>0</v>
      </c>
      <c r="K424" s="446">
        <v>0</v>
      </c>
      <c r="L424" s="446">
        <v>0</v>
      </c>
      <c r="M424" s="446">
        <v>0</v>
      </c>
      <c r="N424" s="446">
        <v>0</v>
      </c>
      <c r="O424" s="446">
        <v>0</v>
      </c>
      <c r="P424" s="446">
        <v>0</v>
      </c>
      <c r="Q424" s="446">
        <v>0</v>
      </c>
      <c r="R424" s="446">
        <v>0</v>
      </c>
      <c r="S424" s="446">
        <v>0</v>
      </c>
      <c r="T424" s="447">
        <v>0</v>
      </c>
      <c r="U424" s="446">
        <v>0</v>
      </c>
      <c r="V424" s="446"/>
    </row>
    <row r="425" spans="1:22" ht="25.5" customHeight="1">
      <c r="A425" s="445">
        <v>46286</v>
      </c>
      <c r="B425" s="446" t="s">
        <v>17</v>
      </c>
      <c r="C425" s="446" t="s">
        <v>106</v>
      </c>
      <c r="D425" s="446">
        <v>4600</v>
      </c>
      <c r="E425" s="446">
        <v>0</v>
      </c>
      <c r="F425" s="446">
        <v>0</v>
      </c>
      <c r="G425" s="446">
        <v>0</v>
      </c>
      <c r="H425" s="446">
        <v>0</v>
      </c>
      <c r="I425" s="446">
        <v>0</v>
      </c>
      <c r="J425" s="446">
        <v>0</v>
      </c>
      <c r="K425" s="446">
        <v>0</v>
      </c>
      <c r="L425" s="446">
        <v>0</v>
      </c>
      <c r="M425" s="446">
        <v>0</v>
      </c>
      <c r="N425" s="446">
        <v>0</v>
      </c>
      <c r="O425" s="446">
        <v>0</v>
      </c>
      <c r="P425" s="446">
        <v>0</v>
      </c>
      <c r="Q425" s="446">
        <v>0</v>
      </c>
      <c r="R425" s="446">
        <v>0</v>
      </c>
      <c r="S425" s="446">
        <v>0</v>
      </c>
      <c r="T425" s="447">
        <v>0</v>
      </c>
      <c r="U425" s="446">
        <v>60</v>
      </c>
      <c r="V425" s="446"/>
    </row>
    <row r="426" spans="1:22" ht="25.5" customHeight="1">
      <c r="A426" s="445">
        <v>46286</v>
      </c>
      <c r="B426" s="446" t="s">
        <v>22</v>
      </c>
      <c r="C426" s="446" t="s">
        <v>23</v>
      </c>
      <c r="D426" s="446">
        <v>0</v>
      </c>
      <c r="E426" s="446">
        <v>0</v>
      </c>
      <c r="F426" s="446">
        <v>0</v>
      </c>
      <c r="G426" s="446">
        <v>0</v>
      </c>
      <c r="H426" s="446">
        <v>0</v>
      </c>
      <c r="I426" s="446">
        <v>0</v>
      </c>
      <c r="J426" s="446">
        <v>0</v>
      </c>
      <c r="K426" s="446">
        <v>0</v>
      </c>
      <c r="L426" s="446">
        <v>0</v>
      </c>
      <c r="M426" s="446">
        <v>0</v>
      </c>
      <c r="N426" s="446">
        <v>0</v>
      </c>
      <c r="O426" s="446">
        <v>0</v>
      </c>
      <c r="P426" s="446">
        <v>0</v>
      </c>
      <c r="Q426" s="446">
        <v>0</v>
      </c>
      <c r="R426" s="446">
        <v>0</v>
      </c>
      <c r="S426" s="446">
        <v>0</v>
      </c>
      <c r="T426" s="447">
        <v>0</v>
      </c>
      <c r="U426" s="446">
        <v>0</v>
      </c>
      <c r="V426" s="446"/>
    </row>
    <row r="427" spans="1:22" ht="25.5" customHeight="1">
      <c r="A427" s="445">
        <v>46286</v>
      </c>
      <c r="B427" s="446" t="s">
        <v>18</v>
      </c>
      <c r="C427" s="446" t="s">
        <v>97</v>
      </c>
      <c r="D427" s="446">
        <v>0</v>
      </c>
      <c r="E427" s="446">
        <v>0</v>
      </c>
      <c r="F427" s="446">
        <v>0</v>
      </c>
      <c r="G427" s="446">
        <v>0</v>
      </c>
      <c r="H427" s="446">
        <v>0</v>
      </c>
      <c r="I427" s="446">
        <v>0</v>
      </c>
      <c r="J427" s="446">
        <v>0</v>
      </c>
      <c r="K427" s="446">
        <v>0</v>
      </c>
      <c r="L427" s="446">
        <v>0</v>
      </c>
      <c r="M427" s="446">
        <v>0</v>
      </c>
      <c r="N427" s="446">
        <v>0</v>
      </c>
      <c r="O427" s="446">
        <v>0</v>
      </c>
      <c r="P427" s="446">
        <v>0</v>
      </c>
      <c r="Q427" s="446">
        <v>0</v>
      </c>
      <c r="R427" s="446">
        <v>0</v>
      </c>
      <c r="S427" s="446">
        <v>0</v>
      </c>
      <c r="T427" s="447">
        <v>0</v>
      </c>
      <c r="U427" s="446">
        <v>0</v>
      </c>
      <c r="V427" s="446"/>
    </row>
    <row r="428" spans="1:22" ht="25.5" customHeight="1">
      <c r="A428" s="445">
        <v>46286</v>
      </c>
      <c r="B428" s="446" t="s">
        <v>18</v>
      </c>
      <c r="C428" s="446" t="s">
        <v>98</v>
      </c>
      <c r="D428" s="446">
        <v>6600</v>
      </c>
      <c r="E428" s="446">
        <v>0</v>
      </c>
      <c r="F428" s="446">
        <v>0</v>
      </c>
      <c r="G428" s="446">
        <v>0</v>
      </c>
      <c r="H428" s="446">
        <v>0</v>
      </c>
      <c r="I428" s="446">
        <v>0</v>
      </c>
      <c r="J428" s="446">
        <v>0</v>
      </c>
      <c r="K428" s="446">
        <v>0</v>
      </c>
      <c r="L428" s="446">
        <v>0</v>
      </c>
      <c r="M428" s="446">
        <v>0</v>
      </c>
      <c r="N428" s="446">
        <v>0</v>
      </c>
      <c r="O428" s="446">
        <v>0</v>
      </c>
      <c r="P428" s="446">
        <v>0</v>
      </c>
      <c r="Q428" s="446">
        <v>0</v>
      </c>
      <c r="R428" s="446">
        <v>0</v>
      </c>
      <c r="S428" s="446">
        <v>0</v>
      </c>
      <c r="T428" s="447">
        <v>0</v>
      </c>
      <c r="U428" s="446">
        <v>0</v>
      </c>
      <c r="V428" s="446"/>
    </row>
    <row r="429" spans="1:22" ht="25.5" customHeight="1">
      <c r="A429" s="445">
        <v>46286</v>
      </c>
      <c r="B429" s="446" t="s">
        <v>18</v>
      </c>
      <c r="C429" s="446" t="s">
        <v>110</v>
      </c>
      <c r="D429" s="446">
        <v>5661</v>
      </c>
      <c r="E429" s="446">
        <v>0</v>
      </c>
      <c r="F429" s="446">
        <v>0</v>
      </c>
      <c r="G429" s="446">
        <v>0</v>
      </c>
      <c r="H429" s="446">
        <v>0</v>
      </c>
      <c r="I429" s="446">
        <v>0</v>
      </c>
      <c r="J429" s="446">
        <v>0</v>
      </c>
      <c r="K429" s="446">
        <v>0</v>
      </c>
      <c r="L429" s="446">
        <v>0</v>
      </c>
      <c r="M429" s="446">
        <v>0</v>
      </c>
      <c r="N429" s="446">
        <v>0</v>
      </c>
      <c r="O429" s="446">
        <v>0</v>
      </c>
      <c r="P429" s="446">
        <v>0</v>
      </c>
      <c r="Q429" s="446">
        <v>0</v>
      </c>
      <c r="R429" s="446">
        <v>0</v>
      </c>
      <c r="S429" s="446">
        <v>0</v>
      </c>
      <c r="T429" s="447">
        <v>0</v>
      </c>
      <c r="U429" s="446">
        <v>935</v>
      </c>
      <c r="V429" s="446"/>
    </row>
    <row r="430" spans="1:22" ht="25.5" customHeight="1">
      <c r="A430" s="445">
        <v>46286</v>
      </c>
      <c r="B430" s="446" t="s">
        <v>19</v>
      </c>
      <c r="C430" s="446" t="s">
        <v>99</v>
      </c>
      <c r="D430" s="446">
        <v>1420</v>
      </c>
      <c r="E430" s="446">
        <v>0</v>
      </c>
      <c r="F430" s="446">
        <v>0</v>
      </c>
      <c r="G430" s="446">
        <v>0</v>
      </c>
      <c r="H430" s="446">
        <v>0</v>
      </c>
      <c r="I430" s="446">
        <v>0</v>
      </c>
      <c r="J430" s="446">
        <v>0</v>
      </c>
      <c r="K430" s="446">
        <v>0</v>
      </c>
      <c r="L430" s="446">
        <v>0</v>
      </c>
      <c r="M430" s="446">
        <v>0</v>
      </c>
      <c r="N430" s="446">
        <v>0</v>
      </c>
      <c r="O430" s="446">
        <v>0</v>
      </c>
      <c r="P430" s="446">
        <v>0</v>
      </c>
      <c r="Q430" s="446">
        <v>0</v>
      </c>
      <c r="R430" s="446">
        <v>0</v>
      </c>
      <c r="S430" s="446">
        <v>0</v>
      </c>
      <c r="T430" s="447">
        <v>0</v>
      </c>
      <c r="U430" s="446">
        <v>0</v>
      </c>
      <c r="V430" s="446"/>
    </row>
    <row r="431" spans="1:22" ht="25.5" customHeight="1">
      <c r="A431" s="445">
        <v>46286</v>
      </c>
      <c r="B431" s="446" t="s">
        <v>19</v>
      </c>
      <c r="C431" s="446" t="s">
        <v>88</v>
      </c>
      <c r="D431" s="446">
        <v>340</v>
      </c>
      <c r="E431" s="446">
        <v>0</v>
      </c>
      <c r="F431" s="446">
        <v>0</v>
      </c>
      <c r="G431" s="446">
        <v>0</v>
      </c>
      <c r="H431" s="446">
        <v>0</v>
      </c>
      <c r="I431" s="446">
        <v>0</v>
      </c>
      <c r="J431" s="446">
        <v>0</v>
      </c>
      <c r="K431" s="446">
        <v>0</v>
      </c>
      <c r="L431" s="446">
        <v>0</v>
      </c>
      <c r="M431" s="446">
        <v>0</v>
      </c>
      <c r="N431" s="446">
        <v>0</v>
      </c>
      <c r="O431" s="446">
        <v>0</v>
      </c>
      <c r="P431" s="446">
        <v>0</v>
      </c>
      <c r="Q431" s="446">
        <v>0</v>
      </c>
      <c r="R431" s="446">
        <v>0</v>
      </c>
      <c r="S431" s="446">
        <v>0</v>
      </c>
      <c r="T431" s="447">
        <v>0</v>
      </c>
      <c r="U431" s="446">
        <v>0</v>
      </c>
      <c r="V431" s="446"/>
    </row>
    <row r="432" spans="1:22" ht="25.5" customHeight="1">
      <c r="A432" s="445">
        <v>46286</v>
      </c>
      <c r="B432" s="446" t="s">
        <v>19</v>
      </c>
      <c r="C432" s="446" t="s">
        <v>107</v>
      </c>
      <c r="D432" s="446">
        <v>0</v>
      </c>
      <c r="E432" s="446">
        <v>0</v>
      </c>
      <c r="F432" s="446">
        <v>0</v>
      </c>
      <c r="G432" s="446">
        <v>0</v>
      </c>
      <c r="H432" s="446">
        <v>0</v>
      </c>
      <c r="I432" s="446">
        <v>0</v>
      </c>
      <c r="J432" s="446">
        <v>0</v>
      </c>
      <c r="K432" s="446">
        <v>0</v>
      </c>
      <c r="L432" s="446">
        <v>0</v>
      </c>
      <c r="M432" s="446">
        <v>0</v>
      </c>
      <c r="N432" s="446">
        <v>0</v>
      </c>
      <c r="O432" s="446">
        <v>0</v>
      </c>
      <c r="P432" s="446">
        <v>0</v>
      </c>
      <c r="Q432" s="446">
        <v>0</v>
      </c>
      <c r="R432" s="446">
        <v>0</v>
      </c>
      <c r="S432" s="446">
        <v>0</v>
      </c>
      <c r="T432" s="447">
        <v>0</v>
      </c>
      <c r="U432" s="446">
        <v>0</v>
      </c>
      <c r="V432" s="446"/>
    </row>
    <row r="433" spans="1:22" ht="25.5" customHeight="1">
      <c r="A433" s="445">
        <v>46286</v>
      </c>
      <c r="B433" s="446" t="s">
        <v>20</v>
      </c>
      <c r="C433" s="446" t="s">
        <v>93</v>
      </c>
      <c r="D433" s="446">
        <v>0</v>
      </c>
      <c r="E433" s="446">
        <v>0</v>
      </c>
      <c r="F433" s="446">
        <v>0</v>
      </c>
      <c r="G433" s="446">
        <v>0</v>
      </c>
      <c r="H433" s="446">
        <v>0</v>
      </c>
      <c r="I433" s="446">
        <v>0</v>
      </c>
      <c r="J433" s="446">
        <v>0</v>
      </c>
      <c r="K433" s="446">
        <v>0</v>
      </c>
      <c r="L433" s="446">
        <v>0</v>
      </c>
      <c r="M433" s="446">
        <v>0</v>
      </c>
      <c r="N433" s="446">
        <v>0</v>
      </c>
      <c r="O433" s="446">
        <v>0</v>
      </c>
      <c r="P433" s="446">
        <v>0</v>
      </c>
      <c r="Q433" s="446">
        <v>0</v>
      </c>
      <c r="R433" s="446">
        <v>0</v>
      </c>
      <c r="S433" s="446">
        <v>0</v>
      </c>
      <c r="T433" s="447">
        <v>0</v>
      </c>
      <c r="U433" s="446">
        <v>0</v>
      </c>
      <c r="V433" s="446"/>
    </row>
    <row r="434" spans="1:22" ht="25.5" customHeight="1">
      <c r="A434" s="445">
        <v>46286</v>
      </c>
      <c r="B434" s="446" t="s">
        <v>20</v>
      </c>
      <c r="C434" s="446" t="s">
        <v>105</v>
      </c>
      <c r="D434" s="446">
        <v>0</v>
      </c>
      <c r="E434" s="446">
        <v>0</v>
      </c>
      <c r="F434" s="446">
        <v>0</v>
      </c>
      <c r="G434" s="446">
        <v>0</v>
      </c>
      <c r="H434" s="446">
        <v>0</v>
      </c>
      <c r="I434" s="446">
        <v>0</v>
      </c>
      <c r="J434" s="446">
        <v>0</v>
      </c>
      <c r="K434" s="446">
        <v>0</v>
      </c>
      <c r="L434" s="446">
        <v>0</v>
      </c>
      <c r="M434" s="446">
        <v>0</v>
      </c>
      <c r="N434" s="446">
        <v>0</v>
      </c>
      <c r="O434" s="446">
        <v>0</v>
      </c>
      <c r="P434" s="446">
        <v>0</v>
      </c>
      <c r="Q434" s="446">
        <v>0</v>
      </c>
      <c r="R434" s="446">
        <v>0</v>
      </c>
      <c r="S434" s="446">
        <v>0</v>
      </c>
      <c r="T434" s="447">
        <v>0</v>
      </c>
      <c r="U434" s="446">
        <v>0</v>
      </c>
      <c r="V434" s="446"/>
    </row>
    <row r="435" spans="1:22" ht="25.5" customHeight="1">
      <c r="A435" s="445">
        <v>46286</v>
      </c>
      <c r="B435" s="446" t="s">
        <v>20</v>
      </c>
      <c r="C435" s="446" t="s">
        <v>102</v>
      </c>
      <c r="D435" s="446">
        <v>1753</v>
      </c>
      <c r="E435" s="446">
        <v>0</v>
      </c>
      <c r="F435" s="446">
        <v>0</v>
      </c>
      <c r="G435" s="446">
        <v>0</v>
      </c>
      <c r="H435" s="446">
        <v>0</v>
      </c>
      <c r="I435" s="446">
        <v>0</v>
      </c>
      <c r="J435" s="446">
        <v>0</v>
      </c>
      <c r="K435" s="446">
        <v>0</v>
      </c>
      <c r="L435" s="446">
        <v>0</v>
      </c>
      <c r="M435" s="446">
        <v>0</v>
      </c>
      <c r="N435" s="446">
        <v>0</v>
      </c>
      <c r="O435" s="446">
        <v>0</v>
      </c>
      <c r="P435" s="446">
        <v>0</v>
      </c>
      <c r="Q435" s="446">
        <v>0</v>
      </c>
      <c r="R435" s="446">
        <v>0</v>
      </c>
      <c r="S435" s="446">
        <v>0</v>
      </c>
      <c r="T435" s="447">
        <v>0</v>
      </c>
      <c r="U435" s="446">
        <v>389</v>
      </c>
      <c r="V435" s="446"/>
    </row>
    <row r="436" spans="1:22" ht="25.5" customHeight="1">
      <c r="A436" s="445">
        <v>46286</v>
      </c>
      <c r="B436" s="446" t="s">
        <v>20</v>
      </c>
      <c r="C436" s="446" t="s">
        <v>111</v>
      </c>
      <c r="D436" s="446">
        <v>2206</v>
      </c>
      <c r="E436" s="446">
        <v>0</v>
      </c>
      <c r="F436" s="446">
        <v>0</v>
      </c>
      <c r="G436" s="446">
        <v>0</v>
      </c>
      <c r="H436" s="446">
        <v>0</v>
      </c>
      <c r="I436" s="446">
        <v>0</v>
      </c>
      <c r="J436" s="446">
        <v>0</v>
      </c>
      <c r="K436" s="446">
        <v>0</v>
      </c>
      <c r="L436" s="446">
        <v>0</v>
      </c>
      <c r="M436" s="446">
        <v>0</v>
      </c>
      <c r="N436" s="446">
        <v>0</v>
      </c>
      <c r="O436" s="446">
        <v>0</v>
      </c>
      <c r="P436" s="446">
        <v>0</v>
      </c>
      <c r="Q436" s="446">
        <v>0</v>
      </c>
      <c r="R436" s="446">
        <v>0</v>
      </c>
      <c r="S436" s="446">
        <v>0</v>
      </c>
      <c r="T436" s="447">
        <v>0</v>
      </c>
      <c r="U436" s="446">
        <v>1044</v>
      </c>
      <c r="V436" s="446"/>
    </row>
    <row r="437" spans="1:22" ht="25.5" customHeight="1">
      <c r="A437" s="445">
        <v>46286</v>
      </c>
      <c r="B437" s="446" t="s">
        <v>21</v>
      </c>
      <c r="C437" s="446" t="s">
        <v>90</v>
      </c>
      <c r="D437" s="446">
        <v>0</v>
      </c>
      <c r="E437" s="446">
        <v>0</v>
      </c>
      <c r="F437" s="446">
        <v>0</v>
      </c>
      <c r="G437" s="446">
        <v>0</v>
      </c>
      <c r="H437" s="446">
        <v>0</v>
      </c>
      <c r="I437" s="446">
        <v>0</v>
      </c>
      <c r="J437" s="446">
        <v>0</v>
      </c>
      <c r="K437" s="446">
        <v>0</v>
      </c>
      <c r="L437" s="446">
        <v>0</v>
      </c>
      <c r="M437" s="446">
        <v>0</v>
      </c>
      <c r="N437" s="446">
        <v>0</v>
      </c>
      <c r="O437" s="446">
        <v>0</v>
      </c>
      <c r="P437" s="446">
        <v>0</v>
      </c>
      <c r="Q437" s="446">
        <v>0</v>
      </c>
      <c r="R437" s="446">
        <v>0</v>
      </c>
      <c r="S437" s="446">
        <v>0</v>
      </c>
      <c r="T437" s="447">
        <v>0</v>
      </c>
      <c r="U437" s="446">
        <v>0</v>
      </c>
      <c r="V437" s="446"/>
    </row>
    <row r="438" spans="1:22" ht="25.5" customHeight="1">
      <c r="A438" s="445">
        <v>46286</v>
      </c>
      <c r="B438" s="446" t="s">
        <v>21</v>
      </c>
      <c r="C438" s="446" t="s">
        <v>109</v>
      </c>
      <c r="D438" s="446">
        <v>9014</v>
      </c>
      <c r="E438" s="446">
        <v>0</v>
      </c>
      <c r="F438" s="446">
        <v>0</v>
      </c>
      <c r="G438" s="446">
        <v>0</v>
      </c>
      <c r="H438" s="446">
        <v>0</v>
      </c>
      <c r="I438" s="446">
        <v>0</v>
      </c>
      <c r="J438" s="446">
        <v>0</v>
      </c>
      <c r="K438" s="446">
        <v>0</v>
      </c>
      <c r="L438" s="446">
        <v>0</v>
      </c>
      <c r="M438" s="446">
        <v>0</v>
      </c>
      <c r="N438" s="446">
        <v>0</v>
      </c>
      <c r="O438" s="446">
        <v>0</v>
      </c>
      <c r="P438" s="446">
        <v>0</v>
      </c>
      <c r="Q438" s="446">
        <v>0</v>
      </c>
      <c r="R438" s="446">
        <v>0</v>
      </c>
      <c r="S438" s="446">
        <v>0</v>
      </c>
      <c r="T438" s="447">
        <v>0</v>
      </c>
      <c r="U438" s="446">
        <v>325</v>
      </c>
      <c r="V438" s="446"/>
    </row>
    <row r="439" spans="1:22" ht="25.5" customHeight="1">
      <c r="A439" s="445">
        <v>46286</v>
      </c>
      <c r="B439" s="446" t="s">
        <v>21</v>
      </c>
      <c r="C439" s="446" t="s">
        <v>103</v>
      </c>
      <c r="D439" s="446">
        <v>3264</v>
      </c>
      <c r="E439" s="446">
        <v>0</v>
      </c>
      <c r="F439" s="446">
        <v>0</v>
      </c>
      <c r="G439" s="446">
        <v>0</v>
      </c>
      <c r="H439" s="446">
        <v>0</v>
      </c>
      <c r="I439" s="446">
        <v>0</v>
      </c>
      <c r="J439" s="446">
        <v>0</v>
      </c>
      <c r="K439" s="446">
        <v>0</v>
      </c>
      <c r="L439" s="446">
        <v>0</v>
      </c>
      <c r="M439" s="446">
        <v>0</v>
      </c>
      <c r="N439" s="446">
        <v>0</v>
      </c>
      <c r="O439" s="446">
        <v>0</v>
      </c>
      <c r="P439" s="446">
        <v>0</v>
      </c>
      <c r="Q439" s="446">
        <v>0</v>
      </c>
      <c r="R439" s="446">
        <v>0</v>
      </c>
      <c r="S439" s="446">
        <v>0</v>
      </c>
      <c r="T439" s="447">
        <v>0</v>
      </c>
      <c r="U439" s="446">
        <v>0</v>
      </c>
      <c r="V439" s="446"/>
    </row>
    <row r="440" spans="1:22" ht="25.5" customHeight="1">
      <c r="A440" s="445">
        <v>46286</v>
      </c>
      <c r="B440" s="446" t="s">
        <v>21</v>
      </c>
      <c r="C440" s="446" t="s">
        <v>112</v>
      </c>
      <c r="D440" s="446">
        <v>730</v>
      </c>
      <c r="E440" s="446">
        <v>0</v>
      </c>
      <c r="F440" s="446">
        <v>0</v>
      </c>
      <c r="G440" s="446">
        <v>0</v>
      </c>
      <c r="H440" s="446">
        <v>0</v>
      </c>
      <c r="I440" s="446">
        <v>0</v>
      </c>
      <c r="J440" s="446">
        <v>0</v>
      </c>
      <c r="K440" s="446">
        <v>0</v>
      </c>
      <c r="L440" s="446">
        <v>0</v>
      </c>
      <c r="M440" s="446">
        <v>0</v>
      </c>
      <c r="N440" s="446">
        <v>0</v>
      </c>
      <c r="O440" s="446">
        <v>0</v>
      </c>
      <c r="P440" s="446">
        <v>0</v>
      </c>
      <c r="Q440" s="446">
        <v>0</v>
      </c>
      <c r="R440" s="446">
        <v>0</v>
      </c>
      <c r="S440" s="446">
        <v>0</v>
      </c>
      <c r="T440" s="447">
        <v>0</v>
      </c>
      <c r="U440" s="446">
        <v>0</v>
      </c>
      <c r="V440" s="446"/>
    </row>
    <row r="441" spans="1:22" ht="25.5" customHeight="1">
      <c r="A441" s="445">
        <v>46287</v>
      </c>
      <c r="B441" s="446" t="s">
        <v>17</v>
      </c>
      <c r="C441" s="446" t="s">
        <v>96</v>
      </c>
      <c r="D441" s="446">
        <v>6590.3</v>
      </c>
      <c r="E441" s="446">
        <v>0</v>
      </c>
      <c r="F441" s="446">
        <v>0</v>
      </c>
      <c r="G441" s="446">
        <v>0</v>
      </c>
      <c r="H441" s="446">
        <v>0</v>
      </c>
      <c r="I441" s="446">
        <v>0</v>
      </c>
      <c r="J441" s="446">
        <v>0</v>
      </c>
      <c r="K441" s="446">
        <v>0</v>
      </c>
      <c r="L441" s="446">
        <v>0</v>
      </c>
      <c r="M441" s="446">
        <v>0</v>
      </c>
      <c r="N441" s="446">
        <v>0</v>
      </c>
      <c r="O441" s="446">
        <v>0</v>
      </c>
      <c r="P441" s="446">
        <v>0</v>
      </c>
      <c r="Q441" s="446">
        <v>0</v>
      </c>
      <c r="R441" s="446">
        <v>0</v>
      </c>
      <c r="S441" s="446">
        <v>0</v>
      </c>
      <c r="T441" s="447">
        <v>0</v>
      </c>
      <c r="U441" s="446">
        <v>2373.8000000000002</v>
      </c>
      <c r="V441" s="446"/>
    </row>
    <row r="442" spans="1:22" ht="25.5" customHeight="1">
      <c r="A442" s="445">
        <v>46287</v>
      </c>
      <c r="B442" s="446" t="s">
        <v>17</v>
      </c>
      <c r="C442" s="446" t="s">
        <v>108</v>
      </c>
      <c r="D442" s="446">
        <v>0</v>
      </c>
      <c r="E442" s="446">
        <v>0</v>
      </c>
      <c r="F442" s="446">
        <v>0</v>
      </c>
      <c r="G442" s="446">
        <v>0</v>
      </c>
      <c r="H442" s="446">
        <v>0</v>
      </c>
      <c r="I442" s="446">
        <v>0</v>
      </c>
      <c r="J442" s="446">
        <v>0</v>
      </c>
      <c r="K442" s="446">
        <v>0</v>
      </c>
      <c r="L442" s="446">
        <v>0</v>
      </c>
      <c r="M442" s="446">
        <v>0</v>
      </c>
      <c r="N442" s="446">
        <v>0</v>
      </c>
      <c r="O442" s="446">
        <v>0</v>
      </c>
      <c r="P442" s="446">
        <v>0</v>
      </c>
      <c r="Q442" s="446">
        <v>0</v>
      </c>
      <c r="R442" s="446">
        <v>0</v>
      </c>
      <c r="S442" s="446">
        <v>0</v>
      </c>
      <c r="T442" s="447">
        <v>0</v>
      </c>
      <c r="U442" s="446">
        <v>0</v>
      </c>
      <c r="V442" s="446"/>
    </row>
    <row r="443" spans="1:22" ht="25.5" customHeight="1">
      <c r="A443" s="445">
        <v>46287</v>
      </c>
      <c r="B443" s="446" t="s">
        <v>17</v>
      </c>
      <c r="C443" s="446" t="s">
        <v>101</v>
      </c>
      <c r="D443" s="446">
        <v>4075</v>
      </c>
      <c r="E443" s="446">
        <v>0</v>
      </c>
      <c r="F443" s="446">
        <v>0</v>
      </c>
      <c r="G443" s="446">
        <v>0</v>
      </c>
      <c r="H443" s="446">
        <v>0</v>
      </c>
      <c r="I443" s="446">
        <v>0</v>
      </c>
      <c r="J443" s="446">
        <v>0</v>
      </c>
      <c r="K443" s="446">
        <v>0</v>
      </c>
      <c r="L443" s="446">
        <v>0</v>
      </c>
      <c r="M443" s="446">
        <v>0</v>
      </c>
      <c r="N443" s="446">
        <v>0</v>
      </c>
      <c r="O443" s="446">
        <v>0</v>
      </c>
      <c r="P443" s="446">
        <v>0</v>
      </c>
      <c r="Q443" s="446">
        <v>0</v>
      </c>
      <c r="R443" s="446">
        <v>0</v>
      </c>
      <c r="S443" s="446">
        <v>0</v>
      </c>
      <c r="T443" s="447">
        <v>0</v>
      </c>
      <c r="U443" s="446">
        <v>2315</v>
      </c>
      <c r="V443" s="446"/>
    </row>
    <row r="444" spans="1:22" ht="25.5" customHeight="1">
      <c r="A444" s="445">
        <v>46287</v>
      </c>
      <c r="B444" s="446" t="s">
        <v>17</v>
      </c>
      <c r="C444" s="446" t="s">
        <v>106</v>
      </c>
      <c r="D444" s="446">
        <v>0</v>
      </c>
      <c r="E444" s="446">
        <v>0</v>
      </c>
      <c r="F444" s="446">
        <v>0</v>
      </c>
      <c r="G444" s="446">
        <v>0</v>
      </c>
      <c r="H444" s="446">
        <v>0</v>
      </c>
      <c r="I444" s="446">
        <v>0</v>
      </c>
      <c r="J444" s="446">
        <v>0</v>
      </c>
      <c r="K444" s="446">
        <v>0</v>
      </c>
      <c r="L444" s="446">
        <v>0</v>
      </c>
      <c r="M444" s="446">
        <v>0</v>
      </c>
      <c r="N444" s="446">
        <v>0</v>
      </c>
      <c r="O444" s="446">
        <v>0</v>
      </c>
      <c r="P444" s="446">
        <v>0</v>
      </c>
      <c r="Q444" s="446">
        <v>0</v>
      </c>
      <c r="R444" s="446">
        <v>0</v>
      </c>
      <c r="S444" s="446">
        <v>0</v>
      </c>
      <c r="T444" s="447">
        <v>0</v>
      </c>
      <c r="U444" s="446">
        <v>0</v>
      </c>
      <c r="V444" s="446"/>
    </row>
    <row r="445" spans="1:22" ht="25.5" customHeight="1">
      <c r="A445" s="445">
        <v>46287</v>
      </c>
      <c r="B445" s="446" t="s">
        <v>22</v>
      </c>
      <c r="C445" s="446" t="s">
        <v>23</v>
      </c>
      <c r="D445" s="446">
        <v>-65</v>
      </c>
      <c r="E445" s="446">
        <v>0</v>
      </c>
      <c r="F445" s="446">
        <v>0</v>
      </c>
      <c r="G445" s="446">
        <v>0</v>
      </c>
      <c r="H445" s="446">
        <v>0</v>
      </c>
      <c r="I445" s="446">
        <v>0</v>
      </c>
      <c r="J445" s="446">
        <v>0</v>
      </c>
      <c r="K445" s="446">
        <v>0</v>
      </c>
      <c r="L445" s="446">
        <v>0</v>
      </c>
      <c r="M445" s="446">
        <v>0</v>
      </c>
      <c r="N445" s="446">
        <v>0</v>
      </c>
      <c r="O445" s="446">
        <v>0</v>
      </c>
      <c r="P445" s="446">
        <v>0</v>
      </c>
      <c r="Q445" s="446">
        <v>0</v>
      </c>
      <c r="R445" s="446">
        <v>0</v>
      </c>
      <c r="S445" s="446">
        <v>0</v>
      </c>
      <c r="T445" s="447">
        <v>0</v>
      </c>
      <c r="U445" s="446">
        <v>0</v>
      </c>
      <c r="V445" s="446"/>
    </row>
    <row r="446" spans="1:22" ht="25.5" customHeight="1">
      <c r="A446" s="445">
        <v>46287</v>
      </c>
      <c r="B446" s="446" t="s">
        <v>18</v>
      </c>
      <c r="C446" s="446" t="s">
        <v>97</v>
      </c>
      <c r="D446" s="446">
        <v>1250</v>
      </c>
      <c r="E446" s="446">
        <v>0</v>
      </c>
      <c r="F446" s="446">
        <v>0</v>
      </c>
      <c r="G446" s="446">
        <v>0</v>
      </c>
      <c r="H446" s="446">
        <v>0</v>
      </c>
      <c r="I446" s="446">
        <v>0</v>
      </c>
      <c r="J446" s="446">
        <v>0</v>
      </c>
      <c r="K446" s="446">
        <v>0</v>
      </c>
      <c r="L446" s="446">
        <v>0</v>
      </c>
      <c r="M446" s="446">
        <v>0</v>
      </c>
      <c r="N446" s="446">
        <v>0</v>
      </c>
      <c r="O446" s="446">
        <v>0</v>
      </c>
      <c r="P446" s="446">
        <v>0</v>
      </c>
      <c r="Q446" s="446">
        <v>0</v>
      </c>
      <c r="R446" s="446">
        <v>0</v>
      </c>
      <c r="S446" s="446">
        <v>0</v>
      </c>
      <c r="T446" s="447">
        <v>0</v>
      </c>
      <c r="U446" s="446">
        <v>0</v>
      </c>
      <c r="V446" s="446"/>
    </row>
    <row r="447" spans="1:22" ht="25.5" customHeight="1">
      <c r="A447" s="445">
        <v>46287</v>
      </c>
      <c r="B447" s="446" t="s">
        <v>18</v>
      </c>
      <c r="C447" s="446" t="s">
        <v>98</v>
      </c>
      <c r="D447" s="446">
        <v>0</v>
      </c>
      <c r="E447" s="446">
        <v>0</v>
      </c>
      <c r="F447" s="446">
        <v>0</v>
      </c>
      <c r="G447" s="446">
        <v>0</v>
      </c>
      <c r="H447" s="446">
        <v>0</v>
      </c>
      <c r="I447" s="446">
        <v>0</v>
      </c>
      <c r="J447" s="446">
        <v>0</v>
      </c>
      <c r="K447" s="446">
        <v>0</v>
      </c>
      <c r="L447" s="446">
        <v>0</v>
      </c>
      <c r="M447" s="446">
        <v>0</v>
      </c>
      <c r="N447" s="446">
        <v>0</v>
      </c>
      <c r="O447" s="446">
        <v>0</v>
      </c>
      <c r="P447" s="446">
        <v>0</v>
      </c>
      <c r="Q447" s="446">
        <v>0</v>
      </c>
      <c r="R447" s="446">
        <v>0</v>
      </c>
      <c r="S447" s="446">
        <v>0</v>
      </c>
      <c r="T447" s="447">
        <v>0</v>
      </c>
      <c r="U447" s="446">
        <v>0</v>
      </c>
      <c r="V447" s="446"/>
    </row>
    <row r="448" spans="1:22" ht="25.5" customHeight="1">
      <c r="A448" s="445">
        <v>46287</v>
      </c>
      <c r="B448" s="446" t="s">
        <v>18</v>
      </c>
      <c r="C448" s="446" t="s">
        <v>110</v>
      </c>
      <c r="D448" s="446">
        <v>9025</v>
      </c>
      <c r="E448" s="446">
        <v>0</v>
      </c>
      <c r="F448" s="446">
        <v>0</v>
      </c>
      <c r="G448" s="446">
        <v>0</v>
      </c>
      <c r="H448" s="446">
        <v>0</v>
      </c>
      <c r="I448" s="446">
        <v>0</v>
      </c>
      <c r="J448" s="446">
        <v>0</v>
      </c>
      <c r="K448" s="446">
        <v>0</v>
      </c>
      <c r="L448" s="446">
        <v>0</v>
      </c>
      <c r="M448" s="446">
        <v>0</v>
      </c>
      <c r="N448" s="446">
        <v>0</v>
      </c>
      <c r="O448" s="446">
        <v>0</v>
      </c>
      <c r="P448" s="446">
        <v>0</v>
      </c>
      <c r="Q448" s="446">
        <v>0</v>
      </c>
      <c r="R448" s="446">
        <v>0</v>
      </c>
      <c r="S448" s="446">
        <v>0</v>
      </c>
      <c r="T448" s="447">
        <v>0</v>
      </c>
      <c r="U448" s="446">
        <v>595</v>
      </c>
      <c r="V448" s="446"/>
    </row>
    <row r="449" spans="1:22" ht="25.5" customHeight="1">
      <c r="A449" s="445">
        <v>46287</v>
      </c>
      <c r="B449" s="446" t="s">
        <v>19</v>
      </c>
      <c r="C449" s="446" t="s">
        <v>99</v>
      </c>
      <c r="D449" s="446">
        <v>1808</v>
      </c>
      <c r="E449" s="446">
        <v>0</v>
      </c>
      <c r="F449" s="446">
        <v>0</v>
      </c>
      <c r="G449" s="446">
        <v>0</v>
      </c>
      <c r="H449" s="446">
        <v>0</v>
      </c>
      <c r="I449" s="446">
        <v>0</v>
      </c>
      <c r="J449" s="446">
        <v>0</v>
      </c>
      <c r="K449" s="446">
        <v>0</v>
      </c>
      <c r="L449" s="446">
        <v>0</v>
      </c>
      <c r="M449" s="446">
        <v>0</v>
      </c>
      <c r="N449" s="446">
        <v>0</v>
      </c>
      <c r="O449" s="446">
        <v>0</v>
      </c>
      <c r="P449" s="446">
        <v>0</v>
      </c>
      <c r="Q449" s="446">
        <v>0</v>
      </c>
      <c r="R449" s="446">
        <v>0</v>
      </c>
      <c r="S449" s="446">
        <v>0</v>
      </c>
      <c r="T449" s="447">
        <v>0</v>
      </c>
      <c r="U449" s="446">
        <v>192</v>
      </c>
      <c r="V449" s="446"/>
    </row>
    <row r="450" spans="1:22" ht="25.5" customHeight="1">
      <c r="A450" s="445">
        <v>46287</v>
      </c>
      <c r="B450" s="446" t="s">
        <v>19</v>
      </c>
      <c r="C450" s="446" t="s">
        <v>88</v>
      </c>
      <c r="D450" s="446">
        <v>9301.2000000000007</v>
      </c>
      <c r="E450" s="446">
        <v>0</v>
      </c>
      <c r="F450" s="446">
        <v>0</v>
      </c>
      <c r="G450" s="446">
        <v>0</v>
      </c>
      <c r="H450" s="446">
        <v>0</v>
      </c>
      <c r="I450" s="446">
        <v>0</v>
      </c>
      <c r="J450" s="446">
        <v>0</v>
      </c>
      <c r="K450" s="446">
        <v>0</v>
      </c>
      <c r="L450" s="446">
        <v>0</v>
      </c>
      <c r="M450" s="446">
        <v>0</v>
      </c>
      <c r="N450" s="446">
        <v>0</v>
      </c>
      <c r="O450" s="446">
        <v>0</v>
      </c>
      <c r="P450" s="446">
        <v>0</v>
      </c>
      <c r="Q450" s="446">
        <v>0</v>
      </c>
      <c r="R450" s="446">
        <v>0</v>
      </c>
      <c r="S450" s="446">
        <v>0</v>
      </c>
      <c r="T450" s="447">
        <v>0</v>
      </c>
      <c r="U450" s="446">
        <v>1125</v>
      </c>
      <c r="V450" s="446"/>
    </row>
    <row r="451" spans="1:22" ht="25.5" customHeight="1">
      <c r="A451" s="445">
        <v>46287</v>
      </c>
      <c r="B451" s="446" t="s">
        <v>19</v>
      </c>
      <c r="C451" s="446" t="s">
        <v>107</v>
      </c>
      <c r="D451" s="446">
        <v>475</v>
      </c>
      <c r="E451" s="446">
        <v>0</v>
      </c>
      <c r="F451" s="446">
        <v>0</v>
      </c>
      <c r="G451" s="446">
        <v>0</v>
      </c>
      <c r="H451" s="446">
        <v>0</v>
      </c>
      <c r="I451" s="446">
        <v>0</v>
      </c>
      <c r="J451" s="446">
        <v>0</v>
      </c>
      <c r="K451" s="446">
        <v>0</v>
      </c>
      <c r="L451" s="446">
        <v>0</v>
      </c>
      <c r="M451" s="446">
        <v>0</v>
      </c>
      <c r="N451" s="446">
        <v>0</v>
      </c>
      <c r="O451" s="446">
        <v>0</v>
      </c>
      <c r="P451" s="446">
        <v>0</v>
      </c>
      <c r="Q451" s="446">
        <v>0</v>
      </c>
      <c r="R451" s="446">
        <v>0</v>
      </c>
      <c r="S451" s="446">
        <v>0</v>
      </c>
      <c r="T451" s="447">
        <v>0</v>
      </c>
      <c r="U451" s="446">
        <v>0</v>
      </c>
      <c r="V451" s="446"/>
    </row>
    <row r="452" spans="1:22" ht="25.5" customHeight="1">
      <c r="A452" s="445">
        <v>46287</v>
      </c>
      <c r="B452" s="446" t="s">
        <v>20</v>
      </c>
      <c r="C452" s="446" t="s">
        <v>93</v>
      </c>
      <c r="D452" s="446">
        <v>9997</v>
      </c>
      <c r="E452" s="446">
        <v>0</v>
      </c>
      <c r="F452" s="446">
        <v>0</v>
      </c>
      <c r="G452" s="446">
        <v>0</v>
      </c>
      <c r="H452" s="446">
        <v>0</v>
      </c>
      <c r="I452" s="446">
        <v>0</v>
      </c>
      <c r="J452" s="446">
        <v>0</v>
      </c>
      <c r="K452" s="446">
        <v>0</v>
      </c>
      <c r="L452" s="446">
        <v>0</v>
      </c>
      <c r="M452" s="446">
        <v>0</v>
      </c>
      <c r="N452" s="446">
        <v>0</v>
      </c>
      <c r="O452" s="446">
        <v>0</v>
      </c>
      <c r="P452" s="446">
        <v>0</v>
      </c>
      <c r="Q452" s="446">
        <v>0</v>
      </c>
      <c r="R452" s="446">
        <v>0</v>
      </c>
      <c r="S452" s="446">
        <v>0</v>
      </c>
      <c r="T452" s="447">
        <v>0</v>
      </c>
      <c r="U452" s="446">
        <v>4121.8</v>
      </c>
      <c r="V452" s="446"/>
    </row>
    <row r="453" spans="1:22" ht="25.5" customHeight="1">
      <c r="A453" s="445">
        <v>46287</v>
      </c>
      <c r="B453" s="446" t="s">
        <v>20</v>
      </c>
      <c r="C453" s="446" t="s">
        <v>105</v>
      </c>
      <c r="D453" s="446">
        <v>2491</v>
      </c>
      <c r="E453" s="446">
        <v>0</v>
      </c>
      <c r="F453" s="446">
        <v>0</v>
      </c>
      <c r="G453" s="446">
        <v>0</v>
      </c>
      <c r="H453" s="446">
        <v>0</v>
      </c>
      <c r="I453" s="446">
        <v>0</v>
      </c>
      <c r="J453" s="446">
        <v>0</v>
      </c>
      <c r="K453" s="446">
        <v>0</v>
      </c>
      <c r="L453" s="446">
        <v>0</v>
      </c>
      <c r="M453" s="446">
        <v>0</v>
      </c>
      <c r="N453" s="446">
        <v>0</v>
      </c>
      <c r="O453" s="446">
        <v>0</v>
      </c>
      <c r="P453" s="446">
        <v>0</v>
      </c>
      <c r="Q453" s="446">
        <v>0</v>
      </c>
      <c r="R453" s="446">
        <v>0</v>
      </c>
      <c r="S453" s="446">
        <v>0</v>
      </c>
      <c r="T453" s="447">
        <v>0</v>
      </c>
      <c r="U453" s="446">
        <v>868.8</v>
      </c>
      <c r="V453" s="446"/>
    </row>
    <row r="454" spans="1:22" ht="25.5" customHeight="1">
      <c r="A454" s="445">
        <v>46287</v>
      </c>
      <c r="B454" s="446" t="s">
        <v>20</v>
      </c>
      <c r="C454" s="446" t="s">
        <v>102</v>
      </c>
      <c r="D454" s="446">
        <v>0</v>
      </c>
      <c r="E454" s="446">
        <v>0</v>
      </c>
      <c r="F454" s="446">
        <v>0</v>
      </c>
      <c r="G454" s="446">
        <v>0</v>
      </c>
      <c r="H454" s="446">
        <v>0</v>
      </c>
      <c r="I454" s="446">
        <v>0</v>
      </c>
      <c r="J454" s="446">
        <v>0</v>
      </c>
      <c r="K454" s="446">
        <v>0</v>
      </c>
      <c r="L454" s="446">
        <v>0</v>
      </c>
      <c r="M454" s="446">
        <v>0</v>
      </c>
      <c r="N454" s="446">
        <v>0</v>
      </c>
      <c r="O454" s="446">
        <v>0</v>
      </c>
      <c r="P454" s="446">
        <v>0</v>
      </c>
      <c r="Q454" s="446">
        <v>0</v>
      </c>
      <c r="R454" s="446">
        <v>0</v>
      </c>
      <c r="S454" s="446">
        <v>0</v>
      </c>
      <c r="T454" s="447">
        <v>0</v>
      </c>
      <c r="U454" s="446">
        <v>0</v>
      </c>
      <c r="V454" s="446"/>
    </row>
    <row r="455" spans="1:22" ht="25.5" customHeight="1">
      <c r="A455" s="445">
        <v>46287</v>
      </c>
      <c r="B455" s="446" t="s">
        <v>20</v>
      </c>
      <c r="C455" s="446" t="s">
        <v>111</v>
      </c>
      <c r="D455" s="446">
        <v>1140</v>
      </c>
      <c r="E455" s="446">
        <v>0</v>
      </c>
      <c r="F455" s="446">
        <v>0</v>
      </c>
      <c r="G455" s="446">
        <v>0</v>
      </c>
      <c r="H455" s="446">
        <v>0</v>
      </c>
      <c r="I455" s="446">
        <v>0</v>
      </c>
      <c r="J455" s="446">
        <v>0</v>
      </c>
      <c r="K455" s="446">
        <v>0</v>
      </c>
      <c r="L455" s="446">
        <v>0</v>
      </c>
      <c r="M455" s="446">
        <v>0</v>
      </c>
      <c r="N455" s="446">
        <v>0</v>
      </c>
      <c r="O455" s="446">
        <v>0</v>
      </c>
      <c r="P455" s="446">
        <v>0</v>
      </c>
      <c r="Q455" s="446">
        <v>0</v>
      </c>
      <c r="R455" s="446">
        <v>0</v>
      </c>
      <c r="S455" s="446">
        <v>0</v>
      </c>
      <c r="T455" s="447">
        <v>0</v>
      </c>
      <c r="U455" s="446">
        <v>150</v>
      </c>
      <c r="V455" s="446"/>
    </row>
    <row r="456" spans="1:22" ht="25.5" customHeight="1">
      <c r="A456" s="445">
        <v>46287</v>
      </c>
      <c r="B456" s="446" t="s">
        <v>21</v>
      </c>
      <c r="C456" s="446" t="s">
        <v>90</v>
      </c>
      <c r="D456" s="446">
        <v>9782</v>
      </c>
      <c r="E456" s="446">
        <v>0</v>
      </c>
      <c r="F456" s="446">
        <v>0</v>
      </c>
      <c r="G456" s="446">
        <v>0</v>
      </c>
      <c r="H456" s="446">
        <v>0</v>
      </c>
      <c r="I456" s="446">
        <v>0</v>
      </c>
      <c r="J456" s="446">
        <v>0</v>
      </c>
      <c r="K456" s="446">
        <v>0</v>
      </c>
      <c r="L456" s="446">
        <v>0</v>
      </c>
      <c r="M456" s="446">
        <v>0</v>
      </c>
      <c r="N456" s="446">
        <v>0</v>
      </c>
      <c r="O456" s="446">
        <v>0</v>
      </c>
      <c r="P456" s="446">
        <v>0</v>
      </c>
      <c r="Q456" s="446">
        <v>0</v>
      </c>
      <c r="R456" s="446">
        <v>0</v>
      </c>
      <c r="S456" s="446">
        <v>0</v>
      </c>
      <c r="T456" s="447">
        <v>0</v>
      </c>
      <c r="U456" s="446">
        <v>2215.33</v>
      </c>
      <c r="V456" s="446"/>
    </row>
    <row r="457" spans="1:22" ht="25.5" customHeight="1">
      <c r="A457" s="445">
        <v>46287</v>
      </c>
      <c r="B457" s="446" t="s">
        <v>21</v>
      </c>
      <c r="C457" s="446" t="s">
        <v>109</v>
      </c>
      <c r="D457" s="446">
        <v>4696</v>
      </c>
      <c r="E457" s="446">
        <v>0</v>
      </c>
      <c r="F457" s="446">
        <v>0</v>
      </c>
      <c r="G457" s="446">
        <v>0</v>
      </c>
      <c r="H457" s="446">
        <v>0</v>
      </c>
      <c r="I457" s="446">
        <v>0</v>
      </c>
      <c r="J457" s="446">
        <v>0</v>
      </c>
      <c r="K457" s="446">
        <v>0</v>
      </c>
      <c r="L457" s="446">
        <v>0</v>
      </c>
      <c r="M457" s="446">
        <v>0</v>
      </c>
      <c r="N457" s="446">
        <v>0</v>
      </c>
      <c r="O457" s="446">
        <v>0</v>
      </c>
      <c r="P457" s="446">
        <v>0</v>
      </c>
      <c r="Q457" s="446">
        <v>0</v>
      </c>
      <c r="R457" s="446">
        <v>0</v>
      </c>
      <c r="S457" s="446">
        <v>0</v>
      </c>
      <c r="T457" s="447">
        <v>0</v>
      </c>
      <c r="U457" s="446">
        <v>1434</v>
      </c>
      <c r="V457" s="446"/>
    </row>
    <row r="458" spans="1:22" ht="25.5" customHeight="1">
      <c r="A458" s="445">
        <v>46287</v>
      </c>
      <c r="B458" s="446" t="s">
        <v>21</v>
      </c>
      <c r="C458" s="446" t="s">
        <v>103</v>
      </c>
      <c r="D458" s="446">
        <v>2640</v>
      </c>
      <c r="E458" s="446">
        <v>0</v>
      </c>
      <c r="F458" s="446">
        <v>0</v>
      </c>
      <c r="G458" s="446">
        <v>0</v>
      </c>
      <c r="H458" s="446">
        <v>0</v>
      </c>
      <c r="I458" s="446">
        <v>0</v>
      </c>
      <c r="J458" s="446">
        <v>0</v>
      </c>
      <c r="K458" s="446">
        <v>0</v>
      </c>
      <c r="L458" s="446">
        <v>0</v>
      </c>
      <c r="M458" s="446">
        <v>0</v>
      </c>
      <c r="N458" s="446">
        <v>0</v>
      </c>
      <c r="O458" s="446">
        <v>0</v>
      </c>
      <c r="P458" s="446">
        <v>0</v>
      </c>
      <c r="Q458" s="446">
        <v>0</v>
      </c>
      <c r="R458" s="446">
        <v>0</v>
      </c>
      <c r="S458" s="446">
        <v>0</v>
      </c>
      <c r="T458" s="447">
        <v>0</v>
      </c>
      <c r="U458" s="446">
        <v>0</v>
      </c>
      <c r="V458" s="446"/>
    </row>
    <row r="459" spans="1:22" ht="25.5" customHeight="1">
      <c r="A459" s="445">
        <v>46287</v>
      </c>
      <c r="B459" s="446" t="s">
        <v>21</v>
      </c>
      <c r="C459" s="446" t="s">
        <v>112</v>
      </c>
      <c r="D459" s="446">
        <v>0</v>
      </c>
      <c r="E459" s="446">
        <v>0</v>
      </c>
      <c r="F459" s="446">
        <v>0</v>
      </c>
      <c r="G459" s="446">
        <v>0</v>
      </c>
      <c r="H459" s="446">
        <v>0</v>
      </c>
      <c r="I459" s="446">
        <v>0</v>
      </c>
      <c r="J459" s="446">
        <v>0</v>
      </c>
      <c r="K459" s="446">
        <v>0</v>
      </c>
      <c r="L459" s="446">
        <v>0</v>
      </c>
      <c r="M459" s="446">
        <v>0</v>
      </c>
      <c r="N459" s="446">
        <v>0</v>
      </c>
      <c r="O459" s="446">
        <v>0</v>
      </c>
      <c r="P459" s="446">
        <v>0</v>
      </c>
      <c r="Q459" s="446">
        <v>0</v>
      </c>
      <c r="R459" s="446">
        <v>0</v>
      </c>
      <c r="S459" s="446">
        <v>0</v>
      </c>
      <c r="T459" s="447">
        <v>0</v>
      </c>
      <c r="U459" s="446">
        <v>0</v>
      </c>
      <c r="V459" s="446"/>
    </row>
    <row r="460" spans="1:22" ht="25.5" customHeight="1">
      <c r="A460" s="445">
        <v>46288</v>
      </c>
      <c r="B460" s="446" t="s">
        <v>17</v>
      </c>
      <c r="C460" s="446" t="s">
        <v>96</v>
      </c>
      <c r="D460" s="446">
        <v>2105</v>
      </c>
      <c r="E460" s="446">
        <v>0</v>
      </c>
      <c r="F460" s="446">
        <v>0</v>
      </c>
      <c r="G460" s="446">
        <v>0</v>
      </c>
      <c r="H460" s="446">
        <v>0</v>
      </c>
      <c r="I460" s="446">
        <v>0</v>
      </c>
      <c r="J460" s="446">
        <v>0</v>
      </c>
      <c r="K460" s="446">
        <v>0</v>
      </c>
      <c r="L460" s="446">
        <v>0</v>
      </c>
      <c r="M460" s="446">
        <v>0</v>
      </c>
      <c r="N460" s="446">
        <v>0</v>
      </c>
      <c r="O460" s="446">
        <v>0</v>
      </c>
      <c r="P460" s="446">
        <v>0</v>
      </c>
      <c r="Q460" s="446">
        <v>0</v>
      </c>
      <c r="R460" s="446">
        <v>0</v>
      </c>
      <c r="S460" s="446">
        <v>0</v>
      </c>
      <c r="T460" s="447">
        <v>0</v>
      </c>
      <c r="U460" s="446">
        <v>245</v>
      </c>
      <c r="V460" s="446"/>
    </row>
    <row r="461" spans="1:22" ht="25.5" customHeight="1">
      <c r="A461" s="445">
        <v>46288</v>
      </c>
      <c r="B461" s="446" t="s">
        <v>17</v>
      </c>
      <c r="C461" s="446" t="s">
        <v>108</v>
      </c>
      <c r="D461" s="446">
        <v>0</v>
      </c>
      <c r="E461" s="446">
        <v>0</v>
      </c>
      <c r="F461" s="446">
        <v>0</v>
      </c>
      <c r="G461" s="446">
        <v>0</v>
      </c>
      <c r="H461" s="446">
        <v>0</v>
      </c>
      <c r="I461" s="446">
        <v>0</v>
      </c>
      <c r="J461" s="446">
        <v>0</v>
      </c>
      <c r="K461" s="446">
        <v>0</v>
      </c>
      <c r="L461" s="446">
        <v>0</v>
      </c>
      <c r="M461" s="446">
        <v>0</v>
      </c>
      <c r="N461" s="446">
        <v>0</v>
      </c>
      <c r="O461" s="446">
        <v>0</v>
      </c>
      <c r="P461" s="446">
        <v>0</v>
      </c>
      <c r="Q461" s="446">
        <v>0</v>
      </c>
      <c r="R461" s="446">
        <v>0</v>
      </c>
      <c r="S461" s="446">
        <v>0</v>
      </c>
      <c r="T461" s="447">
        <v>0</v>
      </c>
      <c r="U461" s="446">
        <v>0</v>
      </c>
      <c r="V461" s="446"/>
    </row>
    <row r="462" spans="1:22" ht="25.5" customHeight="1">
      <c r="A462" s="445">
        <v>46288</v>
      </c>
      <c r="B462" s="446" t="s">
        <v>17</v>
      </c>
      <c r="C462" s="446" t="s">
        <v>101</v>
      </c>
      <c r="D462" s="446">
        <v>9250</v>
      </c>
      <c r="E462" s="446">
        <v>0</v>
      </c>
      <c r="F462" s="446">
        <v>0</v>
      </c>
      <c r="G462" s="446">
        <v>0</v>
      </c>
      <c r="H462" s="446">
        <v>0</v>
      </c>
      <c r="I462" s="446">
        <v>0</v>
      </c>
      <c r="J462" s="446">
        <v>0</v>
      </c>
      <c r="K462" s="446">
        <v>0</v>
      </c>
      <c r="L462" s="446">
        <v>0</v>
      </c>
      <c r="M462" s="446">
        <v>0</v>
      </c>
      <c r="N462" s="446">
        <v>0</v>
      </c>
      <c r="O462" s="446">
        <v>0</v>
      </c>
      <c r="P462" s="446">
        <v>0</v>
      </c>
      <c r="Q462" s="446">
        <v>0</v>
      </c>
      <c r="R462" s="446">
        <v>0</v>
      </c>
      <c r="S462" s="446">
        <v>0</v>
      </c>
      <c r="T462" s="447">
        <v>0</v>
      </c>
      <c r="U462" s="446">
        <v>740</v>
      </c>
      <c r="V462" s="446"/>
    </row>
    <row r="463" spans="1:22" ht="25.5" customHeight="1">
      <c r="A463" s="445">
        <v>46288</v>
      </c>
      <c r="B463" s="446" t="s">
        <v>17</v>
      </c>
      <c r="C463" s="446" t="s">
        <v>106</v>
      </c>
      <c r="D463" s="446">
        <v>1486</v>
      </c>
      <c r="E463" s="446">
        <v>0</v>
      </c>
      <c r="F463" s="446">
        <v>0</v>
      </c>
      <c r="G463" s="446">
        <v>0</v>
      </c>
      <c r="H463" s="446">
        <v>0</v>
      </c>
      <c r="I463" s="446">
        <v>0</v>
      </c>
      <c r="J463" s="446">
        <v>0</v>
      </c>
      <c r="K463" s="446">
        <v>0</v>
      </c>
      <c r="L463" s="446">
        <v>0</v>
      </c>
      <c r="M463" s="446">
        <v>0</v>
      </c>
      <c r="N463" s="446">
        <v>0</v>
      </c>
      <c r="O463" s="446">
        <v>0</v>
      </c>
      <c r="P463" s="446">
        <v>0</v>
      </c>
      <c r="Q463" s="446">
        <v>0</v>
      </c>
      <c r="R463" s="446">
        <v>0</v>
      </c>
      <c r="S463" s="446">
        <v>0</v>
      </c>
      <c r="T463" s="447">
        <v>0</v>
      </c>
      <c r="U463" s="446">
        <v>213</v>
      </c>
      <c r="V463" s="446"/>
    </row>
    <row r="464" spans="1:22" ht="25.5" customHeight="1">
      <c r="A464" s="445">
        <v>46288</v>
      </c>
      <c r="B464" s="446" t="s">
        <v>22</v>
      </c>
      <c r="C464" s="446" t="s">
        <v>23</v>
      </c>
      <c r="D464" s="446">
        <v>0</v>
      </c>
      <c r="E464" s="446">
        <v>0</v>
      </c>
      <c r="F464" s="446">
        <v>0</v>
      </c>
      <c r="G464" s="446">
        <v>0</v>
      </c>
      <c r="H464" s="446">
        <v>0</v>
      </c>
      <c r="I464" s="446">
        <v>0</v>
      </c>
      <c r="J464" s="446">
        <v>0</v>
      </c>
      <c r="K464" s="446">
        <v>0</v>
      </c>
      <c r="L464" s="446">
        <v>0</v>
      </c>
      <c r="M464" s="446">
        <v>0</v>
      </c>
      <c r="N464" s="446">
        <v>0</v>
      </c>
      <c r="O464" s="446">
        <v>0</v>
      </c>
      <c r="P464" s="446">
        <v>0</v>
      </c>
      <c r="Q464" s="446">
        <v>0</v>
      </c>
      <c r="R464" s="446">
        <v>0</v>
      </c>
      <c r="S464" s="446">
        <v>0</v>
      </c>
      <c r="T464" s="447">
        <v>0</v>
      </c>
      <c r="U464" s="446">
        <v>0</v>
      </c>
      <c r="V464" s="446"/>
    </row>
    <row r="465" spans="1:22" ht="25.5" customHeight="1">
      <c r="A465" s="445">
        <v>46288</v>
      </c>
      <c r="B465" s="446" t="s">
        <v>18</v>
      </c>
      <c r="C465" s="446" t="s">
        <v>97</v>
      </c>
      <c r="D465" s="446">
        <v>9453</v>
      </c>
      <c r="E465" s="446">
        <v>0</v>
      </c>
      <c r="F465" s="446">
        <v>0</v>
      </c>
      <c r="G465" s="446">
        <v>0</v>
      </c>
      <c r="H465" s="446">
        <v>0</v>
      </c>
      <c r="I465" s="446">
        <v>0</v>
      </c>
      <c r="J465" s="446">
        <v>0</v>
      </c>
      <c r="K465" s="446">
        <v>0</v>
      </c>
      <c r="L465" s="446">
        <v>0</v>
      </c>
      <c r="M465" s="446">
        <v>0</v>
      </c>
      <c r="N465" s="446">
        <v>0</v>
      </c>
      <c r="O465" s="446">
        <v>0</v>
      </c>
      <c r="P465" s="446">
        <v>0</v>
      </c>
      <c r="Q465" s="446">
        <v>0</v>
      </c>
      <c r="R465" s="446">
        <v>0</v>
      </c>
      <c r="S465" s="446">
        <v>0</v>
      </c>
      <c r="T465" s="447">
        <v>0</v>
      </c>
      <c r="U465" s="446">
        <v>1153</v>
      </c>
      <c r="V465" s="446"/>
    </row>
    <row r="466" spans="1:22" ht="25.5" customHeight="1">
      <c r="A466" s="445">
        <v>46288</v>
      </c>
      <c r="B466" s="446" t="s">
        <v>18</v>
      </c>
      <c r="C466" s="446" t="s">
        <v>98</v>
      </c>
      <c r="D466" s="446">
        <v>9765.4</v>
      </c>
      <c r="E466" s="446">
        <v>0</v>
      </c>
      <c r="F466" s="446">
        <v>0</v>
      </c>
      <c r="G466" s="446">
        <v>0</v>
      </c>
      <c r="H466" s="446">
        <v>0</v>
      </c>
      <c r="I466" s="446">
        <v>0</v>
      </c>
      <c r="J466" s="446">
        <v>0</v>
      </c>
      <c r="K466" s="446">
        <v>0</v>
      </c>
      <c r="L466" s="446">
        <v>0</v>
      </c>
      <c r="M466" s="446">
        <v>0</v>
      </c>
      <c r="N466" s="446">
        <v>0</v>
      </c>
      <c r="O466" s="446">
        <v>0</v>
      </c>
      <c r="P466" s="446">
        <v>0</v>
      </c>
      <c r="Q466" s="446">
        <v>0</v>
      </c>
      <c r="R466" s="446">
        <v>0</v>
      </c>
      <c r="S466" s="446">
        <v>0</v>
      </c>
      <c r="T466" s="447">
        <v>0</v>
      </c>
      <c r="U466" s="446">
        <v>0</v>
      </c>
      <c r="V466" s="446"/>
    </row>
    <row r="467" spans="1:22" ht="25.5" customHeight="1">
      <c r="A467" s="445">
        <v>46288</v>
      </c>
      <c r="B467" s="446" t="s">
        <v>18</v>
      </c>
      <c r="C467" s="446" t="s">
        <v>110</v>
      </c>
      <c r="D467" s="446">
        <v>4849</v>
      </c>
      <c r="E467" s="446">
        <v>0</v>
      </c>
      <c r="F467" s="446">
        <v>0</v>
      </c>
      <c r="G467" s="446">
        <v>0</v>
      </c>
      <c r="H467" s="446">
        <v>0</v>
      </c>
      <c r="I467" s="446">
        <v>0</v>
      </c>
      <c r="J467" s="446">
        <v>0</v>
      </c>
      <c r="K467" s="446">
        <v>0</v>
      </c>
      <c r="L467" s="446">
        <v>0</v>
      </c>
      <c r="M467" s="446">
        <v>0</v>
      </c>
      <c r="N467" s="446">
        <v>0</v>
      </c>
      <c r="O467" s="446">
        <v>0</v>
      </c>
      <c r="P467" s="446">
        <v>0</v>
      </c>
      <c r="Q467" s="446">
        <v>0</v>
      </c>
      <c r="R467" s="446">
        <v>0</v>
      </c>
      <c r="S467" s="446">
        <v>0</v>
      </c>
      <c r="T467" s="447">
        <v>0</v>
      </c>
      <c r="U467" s="446">
        <v>439</v>
      </c>
      <c r="V467" s="446"/>
    </row>
    <row r="468" spans="1:22" ht="25.5" customHeight="1">
      <c r="A468" s="445">
        <v>46288</v>
      </c>
      <c r="B468" s="446" t="s">
        <v>19</v>
      </c>
      <c r="C468" s="446" t="s">
        <v>99</v>
      </c>
      <c r="D468" s="446">
        <v>0</v>
      </c>
      <c r="E468" s="446">
        <v>0</v>
      </c>
      <c r="F468" s="446">
        <v>0</v>
      </c>
      <c r="G468" s="446">
        <v>0</v>
      </c>
      <c r="H468" s="446">
        <v>0</v>
      </c>
      <c r="I468" s="446">
        <v>0</v>
      </c>
      <c r="J468" s="446">
        <v>0</v>
      </c>
      <c r="K468" s="446">
        <v>0</v>
      </c>
      <c r="L468" s="446">
        <v>0</v>
      </c>
      <c r="M468" s="446">
        <v>0</v>
      </c>
      <c r="N468" s="446">
        <v>0</v>
      </c>
      <c r="O468" s="446">
        <v>0</v>
      </c>
      <c r="P468" s="446">
        <v>0</v>
      </c>
      <c r="Q468" s="446">
        <v>0</v>
      </c>
      <c r="R468" s="446">
        <v>0</v>
      </c>
      <c r="S468" s="446">
        <v>0</v>
      </c>
      <c r="T468" s="447">
        <v>0</v>
      </c>
      <c r="U468" s="446">
        <v>0</v>
      </c>
      <c r="V468" s="446"/>
    </row>
    <row r="469" spans="1:22" ht="25.5" customHeight="1">
      <c r="A469" s="445">
        <v>46288</v>
      </c>
      <c r="B469" s="446" t="s">
        <v>19</v>
      </c>
      <c r="C469" s="446" t="s">
        <v>88</v>
      </c>
      <c r="D469" s="446">
        <v>8585</v>
      </c>
      <c r="E469" s="446">
        <v>0</v>
      </c>
      <c r="F469" s="446">
        <v>0</v>
      </c>
      <c r="G469" s="446">
        <v>0</v>
      </c>
      <c r="H469" s="446">
        <v>0</v>
      </c>
      <c r="I469" s="446">
        <v>0</v>
      </c>
      <c r="J469" s="446">
        <v>0</v>
      </c>
      <c r="K469" s="446">
        <v>0</v>
      </c>
      <c r="L469" s="446">
        <v>0</v>
      </c>
      <c r="M469" s="446">
        <v>0</v>
      </c>
      <c r="N469" s="446">
        <v>0</v>
      </c>
      <c r="O469" s="446">
        <v>0</v>
      </c>
      <c r="P469" s="446">
        <v>0</v>
      </c>
      <c r="Q469" s="446">
        <v>0</v>
      </c>
      <c r="R469" s="446">
        <v>0</v>
      </c>
      <c r="S469" s="446">
        <v>0</v>
      </c>
      <c r="T469" s="447">
        <v>0</v>
      </c>
      <c r="U469" s="446">
        <v>345</v>
      </c>
      <c r="V469" s="446"/>
    </row>
    <row r="470" spans="1:22" ht="25.5" customHeight="1">
      <c r="A470" s="445">
        <v>46288</v>
      </c>
      <c r="B470" s="446" t="s">
        <v>19</v>
      </c>
      <c r="C470" s="446" t="s">
        <v>107</v>
      </c>
      <c r="D470" s="446">
        <v>0</v>
      </c>
      <c r="E470" s="446">
        <v>0</v>
      </c>
      <c r="F470" s="446">
        <v>0</v>
      </c>
      <c r="G470" s="446">
        <v>0</v>
      </c>
      <c r="H470" s="446">
        <v>0</v>
      </c>
      <c r="I470" s="446">
        <v>0</v>
      </c>
      <c r="J470" s="446">
        <v>0</v>
      </c>
      <c r="K470" s="446">
        <v>0</v>
      </c>
      <c r="L470" s="446">
        <v>0</v>
      </c>
      <c r="M470" s="446">
        <v>0</v>
      </c>
      <c r="N470" s="446">
        <v>0</v>
      </c>
      <c r="O470" s="446">
        <v>0</v>
      </c>
      <c r="P470" s="446">
        <v>0</v>
      </c>
      <c r="Q470" s="446">
        <v>0</v>
      </c>
      <c r="R470" s="446">
        <v>0</v>
      </c>
      <c r="S470" s="446">
        <v>0</v>
      </c>
      <c r="T470" s="447">
        <v>0</v>
      </c>
      <c r="U470" s="446">
        <v>0</v>
      </c>
      <c r="V470" s="446"/>
    </row>
    <row r="471" spans="1:22" ht="25.5" customHeight="1">
      <c r="A471" s="445">
        <v>46288</v>
      </c>
      <c r="B471" s="446" t="s">
        <v>20</v>
      </c>
      <c r="C471" s="446" t="s">
        <v>93</v>
      </c>
      <c r="D471" s="446">
        <v>10356.92</v>
      </c>
      <c r="E471" s="446">
        <v>0</v>
      </c>
      <c r="F471" s="446">
        <v>0</v>
      </c>
      <c r="G471" s="446">
        <v>0</v>
      </c>
      <c r="H471" s="446">
        <v>0</v>
      </c>
      <c r="I471" s="446">
        <v>0</v>
      </c>
      <c r="J471" s="446">
        <v>0</v>
      </c>
      <c r="K471" s="446">
        <v>0</v>
      </c>
      <c r="L471" s="446">
        <v>0</v>
      </c>
      <c r="M471" s="446">
        <v>0</v>
      </c>
      <c r="N471" s="446">
        <v>0</v>
      </c>
      <c r="O471" s="446">
        <v>0</v>
      </c>
      <c r="P471" s="446">
        <v>0</v>
      </c>
      <c r="Q471" s="446">
        <v>0</v>
      </c>
      <c r="R471" s="446">
        <v>0</v>
      </c>
      <c r="S471" s="446">
        <v>0</v>
      </c>
      <c r="T471" s="447">
        <v>0</v>
      </c>
      <c r="U471" s="446">
        <v>1383</v>
      </c>
      <c r="V471" s="446"/>
    </row>
    <row r="472" spans="1:22" ht="25.5" customHeight="1">
      <c r="A472" s="445">
        <v>46288</v>
      </c>
      <c r="B472" s="446" t="s">
        <v>20</v>
      </c>
      <c r="C472" s="446" t="s">
        <v>105</v>
      </c>
      <c r="D472" s="446">
        <v>400</v>
      </c>
      <c r="E472" s="446">
        <v>0</v>
      </c>
      <c r="F472" s="446">
        <v>0</v>
      </c>
      <c r="G472" s="446">
        <v>0</v>
      </c>
      <c r="H472" s="446">
        <v>0</v>
      </c>
      <c r="I472" s="446">
        <v>0</v>
      </c>
      <c r="J472" s="446">
        <v>0</v>
      </c>
      <c r="K472" s="446">
        <v>0</v>
      </c>
      <c r="L472" s="446">
        <v>0</v>
      </c>
      <c r="M472" s="446">
        <v>0</v>
      </c>
      <c r="N472" s="446">
        <v>0</v>
      </c>
      <c r="O472" s="446">
        <v>0</v>
      </c>
      <c r="P472" s="446">
        <v>0</v>
      </c>
      <c r="Q472" s="446">
        <v>0</v>
      </c>
      <c r="R472" s="446">
        <v>0</v>
      </c>
      <c r="S472" s="446">
        <v>0</v>
      </c>
      <c r="T472" s="447">
        <v>0</v>
      </c>
      <c r="U472" s="446">
        <v>0</v>
      </c>
      <c r="V472" s="446"/>
    </row>
    <row r="473" spans="1:22" ht="25.5" customHeight="1">
      <c r="A473" s="445">
        <v>46288</v>
      </c>
      <c r="B473" s="446" t="s">
        <v>20</v>
      </c>
      <c r="C473" s="446" t="s">
        <v>102</v>
      </c>
      <c r="D473" s="446">
        <v>0</v>
      </c>
      <c r="E473" s="446">
        <v>0</v>
      </c>
      <c r="F473" s="446">
        <v>0</v>
      </c>
      <c r="G473" s="446">
        <v>0</v>
      </c>
      <c r="H473" s="446">
        <v>0</v>
      </c>
      <c r="I473" s="446">
        <v>0</v>
      </c>
      <c r="J473" s="446">
        <v>0</v>
      </c>
      <c r="K473" s="446">
        <v>0</v>
      </c>
      <c r="L473" s="446">
        <v>0</v>
      </c>
      <c r="M473" s="446">
        <v>0</v>
      </c>
      <c r="N473" s="446">
        <v>0</v>
      </c>
      <c r="O473" s="446">
        <v>0</v>
      </c>
      <c r="P473" s="446">
        <v>0</v>
      </c>
      <c r="Q473" s="446">
        <v>0</v>
      </c>
      <c r="R473" s="446">
        <v>0</v>
      </c>
      <c r="S473" s="446">
        <v>0</v>
      </c>
      <c r="T473" s="447">
        <v>0</v>
      </c>
      <c r="U473" s="446">
        <v>0</v>
      </c>
      <c r="V473" s="446"/>
    </row>
    <row r="474" spans="1:22" ht="25.5" customHeight="1">
      <c r="A474" s="445">
        <v>46288</v>
      </c>
      <c r="B474" s="446" t="s">
        <v>20</v>
      </c>
      <c r="C474" s="446" t="s">
        <v>111</v>
      </c>
      <c r="D474" s="446">
        <v>1913</v>
      </c>
      <c r="E474" s="446">
        <v>0</v>
      </c>
      <c r="F474" s="446">
        <v>0</v>
      </c>
      <c r="G474" s="446">
        <v>0</v>
      </c>
      <c r="H474" s="446">
        <v>0</v>
      </c>
      <c r="I474" s="446">
        <v>0</v>
      </c>
      <c r="J474" s="446">
        <v>0</v>
      </c>
      <c r="K474" s="446">
        <v>0</v>
      </c>
      <c r="L474" s="446">
        <v>0</v>
      </c>
      <c r="M474" s="446">
        <v>0</v>
      </c>
      <c r="N474" s="446">
        <v>0</v>
      </c>
      <c r="O474" s="446">
        <v>0</v>
      </c>
      <c r="P474" s="446">
        <v>0</v>
      </c>
      <c r="Q474" s="446">
        <v>0</v>
      </c>
      <c r="R474" s="446">
        <v>0</v>
      </c>
      <c r="S474" s="446">
        <v>0</v>
      </c>
      <c r="T474" s="447">
        <v>0</v>
      </c>
      <c r="U474" s="446">
        <v>767</v>
      </c>
      <c r="V474" s="446"/>
    </row>
    <row r="475" spans="1:22" ht="25.5" customHeight="1">
      <c r="A475" s="445">
        <v>46288</v>
      </c>
      <c r="B475" s="446" t="s">
        <v>21</v>
      </c>
      <c r="C475" s="446" t="s">
        <v>90</v>
      </c>
      <c r="D475" s="446">
        <v>6120</v>
      </c>
      <c r="E475" s="446">
        <v>0</v>
      </c>
      <c r="F475" s="446">
        <v>0</v>
      </c>
      <c r="G475" s="446">
        <v>0</v>
      </c>
      <c r="H475" s="446">
        <v>0</v>
      </c>
      <c r="I475" s="446">
        <v>0</v>
      </c>
      <c r="J475" s="446">
        <v>0</v>
      </c>
      <c r="K475" s="446">
        <v>0</v>
      </c>
      <c r="L475" s="446">
        <v>0</v>
      </c>
      <c r="M475" s="446">
        <v>0</v>
      </c>
      <c r="N475" s="446">
        <v>0</v>
      </c>
      <c r="O475" s="446">
        <v>0</v>
      </c>
      <c r="P475" s="446">
        <v>0</v>
      </c>
      <c r="Q475" s="446">
        <v>0</v>
      </c>
      <c r="R475" s="446">
        <v>0</v>
      </c>
      <c r="S475" s="446">
        <v>0</v>
      </c>
      <c r="T475" s="447">
        <v>0</v>
      </c>
      <c r="U475" s="446">
        <v>0</v>
      </c>
      <c r="V475" s="446"/>
    </row>
    <row r="476" spans="1:22" ht="25.5" customHeight="1">
      <c r="A476" s="445">
        <v>46288</v>
      </c>
      <c r="B476" s="446" t="s">
        <v>21</v>
      </c>
      <c r="C476" s="446" t="s">
        <v>109</v>
      </c>
      <c r="D476" s="446">
        <v>6028</v>
      </c>
      <c r="E476" s="446">
        <v>0</v>
      </c>
      <c r="F476" s="446">
        <v>0</v>
      </c>
      <c r="G476" s="446">
        <v>0</v>
      </c>
      <c r="H476" s="446">
        <v>0</v>
      </c>
      <c r="I476" s="446">
        <v>0</v>
      </c>
      <c r="J476" s="446">
        <v>0</v>
      </c>
      <c r="K476" s="446">
        <v>0</v>
      </c>
      <c r="L476" s="446">
        <v>0</v>
      </c>
      <c r="M476" s="446">
        <v>0</v>
      </c>
      <c r="N476" s="446">
        <v>0</v>
      </c>
      <c r="O476" s="446">
        <v>0</v>
      </c>
      <c r="P476" s="446">
        <v>0</v>
      </c>
      <c r="Q476" s="446">
        <v>0</v>
      </c>
      <c r="R476" s="446">
        <v>0</v>
      </c>
      <c r="S476" s="446">
        <v>0</v>
      </c>
      <c r="T476" s="447">
        <v>0</v>
      </c>
      <c r="U476" s="446">
        <v>912.88</v>
      </c>
      <c r="V476" s="446"/>
    </row>
    <row r="477" spans="1:22" ht="25.5" customHeight="1">
      <c r="A477" s="445">
        <v>46288</v>
      </c>
      <c r="B477" s="446" t="s">
        <v>21</v>
      </c>
      <c r="C477" s="446" t="s">
        <v>103</v>
      </c>
      <c r="D477" s="446">
        <v>0</v>
      </c>
      <c r="E477" s="446">
        <v>0</v>
      </c>
      <c r="F477" s="446">
        <v>0</v>
      </c>
      <c r="G477" s="446">
        <v>0</v>
      </c>
      <c r="H477" s="446">
        <v>0</v>
      </c>
      <c r="I477" s="446">
        <v>0</v>
      </c>
      <c r="J477" s="446">
        <v>0</v>
      </c>
      <c r="K477" s="446">
        <v>0</v>
      </c>
      <c r="L477" s="446">
        <v>0</v>
      </c>
      <c r="M477" s="446">
        <v>0</v>
      </c>
      <c r="N477" s="446">
        <v>0</v>
      </c>
      <c r="O477" s="446">
        <v>0</v>
      </c>
      <c r="P477" s="446">
        <v>0</v>
      </c>
      <c r="Q477" s="446">
        <v>0</v>
      </c>
      <c r="R477" s="446">
        <v>0</v>
      </c>
      <c r="S477" s="446">
        <v>0</v>
      </c>
      <c r="T477" s="447">
        <v>0</v>
      </c>
      <c r="U477" s="446">
        <v>0</v>
      </c>
      <c r="V477" s="446"/>
    </row>
    <row r="478" spans="1:22" ht="25.5" customHeight="1">
      <c r="A478" s="445">
        <v>46288</v>
      </c>
      <c r="B478" s="446" t="s">
        <v>21</v>
      </c>
      <c r="C478" s="446" t="s">
        <v>112</v>
      </c>
      <c r="D478" s="446">
        <v>0</v>
      </c>
      <c r="E478" s="446">
        <v>0</v>
      </c>
      <c r="F478" s="446">
        <v>0</v>
      </c>
      <c r="G478" s="446">
        <v>0</v>
      </c>
      <c r="H478" s="446">
        <v>0</v>
      </c>
      <c r="I478" s="446">
        <v>0</v>
      </c>
      <c r="J478" s="446">
        <v>0</v>
      </c>
      <c r="K478" s="446">
        <v>0</v>
      </c>
      <c r="L478" s="446">
        <v>0</v>
      </c>
      <c r="M478" s="446">
        <v>0</v>
      </c>
      <c r="N478" s="446">
        <v>0</v>
      </c>
      <c r="O478" s="446">
        <v>0</v>
      </c>
      <c r="P478" s="446">
        <v>0</v>
      </c>
      <c r="Q478" s="446">
        <v>0</v>
      </c>
      <c r="R478" s="446">
        <v>0</v>
      </c>
      <c r="S478" s="446">
        <v>0</v>
      </c>
      <c r="T478" s="447">
        <v>0</v>
      </c>
      <c r="U478" s="446">
        <v>0</v>
      </c>
      <c r="V478" s="446"/>
    </row>
    <row r="479" spans="1:22" ht="25.5" customHeight="1">
      <c r="A479" s="445">
        <v>46289</v>
      </c>
      <c r="B479" s="446" t="s">
        <v>17</v>
      </c>
      <c r="C479" s="446" t="s">
        <v>96</v>
      </c>
      <c r="D479" s="446">
        <v>9520</v>
      </c>
      <c r="E479" s="446">
        <v>0</v>
      </c>
      <c r="F479" s="446">
        <v>0</v>
      </c>
      <c r="G479" s="446">
        <v>0</v>
      </c>
      <c r="H479" s="446">
        <v>0</v>
      </c>
      <c r="I479" s="446">
        <v>0</v>
      </c>
      <c r="J479" s="446">
        <v>0</v>
      </c>
      <c r="K479" s="446">
        <v>0</v>
      </c>
      <c r="L479" s="446">
        <v>0</v>
      </c>
      <c r="M479" s="446">
        <v>0</v>
      </c>
      <c r="N479" s="446">
        <v>0</v>
      </c>
      <c r="O479" s="446">
        <v>0</v>
      </c>
      <c r="P479" s="446">
        <v>0</v>
      </c>
      <c r="Q479" s="446">
        <v>0</v>
      </c>
      <c r="R479" s="446">
        <v>0</v>
      </c>
      <c r="S479" s="446">
        <v>0</v>
      </c>
      <c r="T479" s="447">
        <v>0</v>
      </c>
      <c r="U479" s="446">
        <v>1720</v>
      </c>
      <c r="V479" s="446"/>
    </row>
    <row r="480" spans="1:22" ht="25.5" customHeight="1">
      <c r="A480" s="445">
        <v>46289</v>
      </c>
      <c r="B480" s="446" t="s">
        <v>17</v>
      </c>
      <c r="C480" s="446" t="s">
        <v>108</v>
      </c>
      <c r="D480" s="446">
        <v>8808.2000000000007</v>
      </c>
      <c r="E480" s="446">
        <v>0</v>
      </c>
      <c r="F480" s="446">
        <v>0</v>
      </c>
      <c r="G480" s="446">
        <v>0</v>
      </c>
      <c r="H480" s="446">
        <v>0</v>
      </c>
      <c r="I480" s="446">
        <v>0</v>
      </c>
      <c r="J480" s="446">
        <v>0</v>
      </c>
      <c r="K480" s="446">
        <v>0</v>
      </c>
      <c r="L480" s="446">
        <v>0</v>
      </c>
      <c r="M480" s="446">
        <v>0</v>
      </c>
      <c r="N480" s="446">
        <v>0</v>
      </c>
      <c r="O480" s="446">
        <v>0</v>
      </c>
      <c r="P480" s="446">
        <v>0</v>
      </c>
      <c r="Q480" s="446">
        <v>0</v>
      </c>
      <c r="R480" s="446">
        <v>0</v>
      </c>
      <c r="S480" s="446">
        <v>0</v>
      </c>
      <c r="T480" s="447">
        <v>0</v>
      </c>
      <c r="U480" s="446">
        <v>650</v>
      </c>
      <c r="V480" s="446"/>
    </row>
    <row r="481" spans="1:22" ht="25.5" customHeight="1">
      <c r="A481" s="445">
        <v>46289</v>
      </c>
      <c r="B481" s="446" t="s">
        <v>17</v>
      </c>
      <c r="C481" s="446" t="s">
        <v>101</v>
      </c>
      <c r="D481" s="446">
        <v>0</v>
      </c>
      <c r="E481" s="446">
        <v>0</v>
      </c>
      <c r="F481" s="446">
        <v>0</v>
      </c>
      <c r="G481" s="446">
        <v>0</v>
      </c>
      <c r="H481" s="446">
        <v>0</v>
      </c>
      <c r="I481" s="446">
        <v>0</v>
      </c>
      <c r="J481" s="446">
        <v>0</v>
      </c>
      <c r="K481" s="446">
        <v>0</v>
      </c>
      <c r="L481" s="446">
        <v>0</v>
      </c>
      <c r="M481" s="446">
        <v>0</v>
      </c>
      <c r="N481" s="446">
        <v>0</v>
      </c>
      <c r="O481" s="446">
        <v>0</v>
      </c>
      <c r="P481" s="446">
        <v>0</v>
      </c>
      <c r="Q481" s="446">
        <v>0</v>
      </c>
      <c r="R481" s="446">
        <v>0</v>
      </c>
      <c r="S481" s="446">
        <v>0</v>
      </c>
      <c r="T481" s="447">
        <v>0</v>
      </c>
      <c r="U481" s="446">
        <v>0</v>
      </c>
      <c r="V481" s="446"/>
    </row>
    <row r="482" spans="1:22" ht="25.5" customHeight="1">
      <c r="A482" s="445">
        <v>46289</v>
      </c>
      <c r="B482" s="446" t="s">
        <v>17</v>
      </c>
      <c r="C482" s="446" t="s">
        <v>106</v>
      </c>
      <c r="D482" s="446">
        <v>4510</v>
      </c>
      <c r="E482" s="446">
        <v>0</v>
      </c>
      <c r="F482" s="446">
        <v>0</v>
      </c>
      <c r="G482" s="446">
        <v>0</v>
      </c>
      <c r="H482" s="446">
        <v>0</v>
      </c>
      <c r="I482" s="446">
        <v>0</v>
      </c>
      <c r="J482" s="446">
        <v>0</v>
      </c>
      <c r="K482" s="446">
        <v>0</v>
      </c>
      <c r="L482" s="446">
        <v>0</v>
      </c>
      <c r="M482" s="446">
        <v>0</v>
      </c>
      <c r="N482" s="446">
        <v>0</v>
      </c>
      <c r="O482" s="446">
        <v>0</v>
      </c>
      <c r="P482" s="446">
        <v>0</v>
      </c>
      <c r="Q482" s="446">
        <v>0</v>
      </c>
      <c r="R482" s="446">
        <v>0</v>
      </c>
      <c r="S482" s="446">
        <v>0</v>
      </c>
      <c r="T482" s="447">
        <v>0</v>
      </c>
      <c r="U482" s="446">
        <v>0</v>
      </c>
      <c r="V482" s="446"/>
    </row>
    <row r="483" spans="1:22" ht="25.5" customHeight="1">
      <c r="A483" s="445">
        <v>46289</v>
      </c>
      <c r="B483" s="446" t="s">
        <v>22</v>
      </c>
      <c r="C483" s="446" t="s">
        <v>23</v>
      </c>
      <c r="D483" s="446">
        <v>3461</v>
      </c>
      <c r="E483" s="446">
        <v>0</v>
      </c>
      <c r="F483" s="446">
        <v>0</v>
      </c>
      <c r="G483" s="446">
        <v>0</v>
      </c>
      <c r="H483" s="446">
        <v>0</v>
      </c>
      <c r="I483" s="446">
        <v>0</v>
      </c>
      <c r="J483" s="446">
        <v>0</v>
      </c>
      <c r="K483" s="446">
        <v>0</v>
      </c>
      <c r="L483" s="446">
        <v>0</v>
      </c>
      <c r="M483" s="446">
        <v>0</v>
      </c>
      <c r="N483" s="446">
        <v>0</v>
      </c>
      <c r="O483" s="446">
        <v>0</v>
      </c>
      <c r="P483" s="446">
        <v>0</v>
      </c>
      <c r="Q483" s="446">
        <v>0</v>
      </c>
      <c r="R483" s="446">
        <v>0</v>
      </c>
      <c r="S483" s="446">
        <v>0</v>
      </c>
      <c r="T483" s="447">
        <v>0</v>
      </c>
      <c r="U483" s="446">
        <v>1003</v>
      </c>
      <c r="V483" s="446"/>
    </row>
    <row r="484" spans="1:22" ht="25.5" customHeight="1">
      <c r="A484" s="445">
        <v>46289</v>
      </c>
      <c r="B484" s="446" t="s">
        <v>18</v>
      </c>
      <c r="C484" s="446" t="s">
        <v>97</v>
      </c>
      <c r="D484" s="446">
        <v>0</v>
      </c>
      <c r="E484" s="446">
        <v>0</v>
      </c>
      <c r="F484" s="446">
        <v>0</v>
      </c>
      <c r="G484" s="446">
        <v>0</v>
      </c>
      <c r="H484" s="446">
        <v>0</v>
      </c>
      <c r="I484" s="446">
        <v>0</v>
      </c>
      <c r="J484" s="446">
        <v>0</v>
      </c>
      <c r="K484" s="446">
        <v>0</v>
      </c>
      <c r="L484" s="446">
        <v>0</v>
      </c>
      <c r="M484" s="446">
        <v>0</v>
      </c>
      <c r="N484" s="446">
        <v>0</v>
      </c>
      <c r="O484" s="446">
        <v>0</v>
      </c>
      <c r="P484" s="446">
        <v>0</v>
      </c>
      <c r="Q484" s="446">
        <v>0</v>
      </c>
      <c r="R484" s="446">
        <v>0</v>
      </c>
      <c r="S484" s="446">
        <v>0</v>
      </c>
      <c r="T484" s="447">
        <v>0</v>
      </c>
      <c r="U484" s="446">
        <v>0</v>
      </c>
      <c r="V484" s="446"/>
    </row>
    <row r="485" spans="1:22" ht="25.5" customHeight="1">
      <c r="A485" s="445">
        <v>46289</v>
      </c>
      <c r="B485" s="446" t="s">
        <v>18</v>
      </c>
      <c r="C485" s="446" t="s">
        <v>98</v>
      </c>
      <c r="D485" s="446">
        <v>12471</v>
      </c>
      <c r="E485" s="446">
        <v>0</v>
      </c>
      <c r="F485" s="446">
        <v>0</v>
      </c>
      <c r="G485" s="446">
        <v>0</v>
      </c>
      <c r="H485" s="446">
        <v>0</v>
      </c>
      <c r="I485" s="446">
        <v>0</v>
      </c>
      <c r="J485" s="446">
        <v>0</v>
      </c>
      <c r="K485" s="446">
        <v>0</v>
      </c>
      <c r="L485" s="446">
        <v>0</v>
      </c>
      <c r="M485" s="446">
        <v>0</v>
      </c>
      <c r="N485" s="446">
        <v>0</v>
      </c>
      <c r="O485" s="446">
        <v>0</v>
      </c>
      <c r="P485" s="446">
        <v>0</v>
      </c>
      <c r="Q485" s="446">
        <v>0</v>
      </c>
      <c r="R485" s="446">
        <v>0</v>
      </c>
      <c r="S485" s="446">
        <v>0</v>
      </c>
      <c r="T485" s="447">
        <v>0</v>
      </c>
      <c r="U485" s="446">
        <v>1309</v>
      </c>
      <c r="V485" s="446"/>
    </row>
    <row r="486" spans="1:22" ht="25.5" customHeight="1">
      <c r="A486" s="445">
        <v>46289</v>
      </c>
      <c r="B486" s="446" t="s">
        <v>18</v>
      </c>
      <c r="C486" s="446" t="s">
        <v>110</v>
      </c>
      <c r="D486" s="446">
        <v>400</v>
      </c>
      <c r="E486" s="446">
        <v>0</v>
      </c>
      <c r="F486" s="446">
        <v>0</v>
      </c>
      <c r="G486" s="446">
        <v>0</v>
      </c>
      <c r="H486" s="446">
        <v>0</v>
      </c>
      <c r="I486" s="446">
        <v>0</v>
      </c>
      <c r="J486" s="446">
        <v>0</v>
      </c>
      <c r="K486" s="446">
        <v>0</v>
      </c>
      <c r="L486" s="446">
        <v>0</v>
      </c>
      <c r="M486" s="446">
        <v>0</v>
      </c>
      <c r="N486" s="446">
        <v>0</v>
      </c>
      <c r="O486" s="446">
        <v>0</v>
      </c>
      <c r="P486" s="446">
        <v>0</v>
      </c>
      <c r="Q486" s="446">
        <v>0</v>
      </c>
      <c r="R486" s="446">
        <v>0</v>
      </c>
      <c r="S486" s="446">
        <v>0</v>
      </c>
      <c r="T486" s="447">
        <v>0</v>
      </c>
      <c r="U486" s="446">
        <v>0</v>
      </c>
      <c r="V486" s="446"/>
    </row>
    <row r="487" spans="1:22" ht="25.5" customHeight="1">
      <c r="A487" s="445">
        <v>46289</v>
      </c>
      <c r="B487" s="446" t="s">
        <v>19</v>
      </c>
      <c r="C487" s="446" t="s">
        <v>99</v>
      </c>
      <c r="D487" s="446">
        <v>0</v>
      </c>
      <c r="E487" s="446">
        <v>0</v>
      </c>
      <c r="F487" s="446">
        <v>0</v>
      </c>
      <c r="G487" s="446">
        <v>0</v>
      </c>
      <c r="H487" s="446">
        <v>0</v>
      </c>
      <c r="I487" s="446">
        <v>0</v>
      </c>
      <c r="J487" s="446">
        <v>0</v>
      </c>
      <c r="K487" s="446">
        <v>0</v>
      </c>
      <c r="L487" s="446">
        <v>0</v>
      </c>
      <c r="M487" s="446">
        <v>0</v>
      </c>
      <c r="N487" s="446">
        <v>0</v>
      </c>
      <c r="O487" s="446">
        <v>0</v>
      </c>
      <c r="P487" s="446">
        <v>0</v>
      </c>
      <c r="Q487" s="446">
        <v>0</v>
      </c>
      <c r="R487" s="446">
        <v>0</v>
      </c>
      <c r="S487" s="446">
        <v>0</v>
      </c>
      <c r="T487" s="447">
        <v>0</v>
      </c>
      <c r="U487" s="446">
        <v>0</v>
      </c>
      <c r="V487" s="446"/>
    </row>
    <row r="488" spans="1:22" ht="25.5" customHeight="1">
      <c r="A488" s="445">
        <v>46289</v>
      </c>
      <c r="B488" s="446" t="s">
        <v>19</v>
      </c>
      <c r="C488" s="446" t="s">
        <v>88</v>
      </c>
      <c r="D488" s="446">
        <v>13124</v>
      </c>
      <c r="E488" s="446">
        <v>0</v>
      </c>
      <c r="F488" s="446">
        <v>0</v>
      </c>
      <c r="G488" s="446">
        <v>0</v>
      </c>
      <c r="H488" s="446">
        <v>0</v>
      </c>
      <c r="I488" s="446">
        <v>0</v>
      </c>
      <c r="J488" s="446">
        <v>0</v>
      </c>
      <c r="K488" s="446">
        <v>0</v>
      </c>
      <c r="L488" s="446">
        <v>0</v>
      </c>
      <c r="M488" s="446">
        <v>0</v>
      </c>
      <c r="N488" s="446">
        <v>0</v>
      </c>
      <c r="O488" s="446">
        <v>0</v>
      </c>
      <c r="P488" s="446">
        <v>0</v>
      </c>
      <c r="Q488" s="446">
        <v>0</v>
      </c>
      <c r="R488" s="446">
        <v>0</v>
      </c>
      <c r="S488" s="446">
        <v>0</v>
      </c>
      <c r="T488" s="447">
        <v>0</v>
      </c>
      <c r="U488" s="446">
        <v>2016</v>
      </c>
      <c r="V488" s="446"/>
    </row>
    <row r="489" spans="1:22" ht="25.5" customHeight="1">
      <c r="A489" s="445">
        <v>46289</v>
      </c>
      <c r="B489" s="446" t="s">
        <v>19</v>
      </c>
      <c r="C489" s="446" t="s">
        <v>107</v>
      </c>
      <c r="D489" s="446">
        <v>1985</v>
      </c>
      <c r="E489" s="446">
        <v>0</v>
      </c>
      <c r="F489" s="446">
        <v>0</v>
      </c>
      <c r="G489" s="446">
        <v>0</v>
      </c>
      <c r="H489" s="446">
        <v>0</v>
      </c>
      <c r="I489" s="446">
        <v>0</v>
      </c>
      <c r="J489" s="446">
        <v>0</v>
      </c>
      <c r="K489" s="446">
        <v>0</v>
      </c>
      <c r="L489" s="446">
        <v>0</v>
      </c>
      <c r="M489" s="446">
        <v>0</v>
      </c>
      <c r="N489" s="446">
        <v>0</v>
      </c>
      <c r="O489" s="446">
        <v>0</v>
      </c>
      <c r="P489" s="446">
        <v>0</v>
      </c>
      <c r="Q489" s="446">
        <v>0</v>
      </c>
      <c r="R489" s="446">
        <v>0</v>
      </c>
      <c r="S489" s="446">
        <v>0</v>
      </c>
      <c r="T489" s="447">
        <v>0</v>
      </c>
      <c r="U489" s="446">
        <v>235</v>
      </c>
      <c r="V489" s="446"/>
    </row>
    <row r="490" spans="1:22" ht="25.5" customHeight="1">
      <c r="A490" s="445">
        <v>46289</v>
      </c>
      <c r="B490" s="446" t="s">
        <v>20</v>
      </c>
      <c r="C490" s="446" t="s">
        <v>93</v>
      </c>
      <c r="D490" s="446">
        <v>6927</v>
      </c>
      <c r="E490" s="446">
        <v>0</v>
      </c>
      <c r="F490" s="446">
        <v>0</v>
      </c>
      <c r="G490" s="446">
        <v>0</v>
      </c>
      <c r="H490" s="446">
        <v>0</v>
      </c>
      <c r="I490" s="446">
        <v>0</v>
      </c>
      <c r="J490" s="446">
        <v>0</v>
      </c>
      <c r="K490" s="446">
        <v>0</v>
      </c>
      <c r="L490" s="446">
        <v>0</v>
      </c>
      <c r="M490" s="446">
        <v>0</v>
      </c>
      <c r="N490" s="446">
        <v>0</v>
      </c>
      <c r="O490" s="446">
        <v>0</v>
      </c>
      <c r="P490" s="446">
        <v>0</v>
      </c>
      <c r="Q490" s="446">
        <v>0</v>
      </c>
      <c r="R490" s="446">
        <v>0</v>
      </c>
      <c r="S490" s="446">
        <v>0</v>
      </c>
      <c r="T490" s="447">
        <v>0</v>
      </c>
      <c r="U490" s="446">
        <v>0</v>
      </c>
      <c r="V490" s="446"/>
    </row>
    <row r="491" spans="1:22" ht="25.5" customHeight="1">
      <c r="A491" s="445">
        <v>46289</v>
      </c>
      <c r="B491" s="446" t="s">
        <v>20</v>
      </c>
      <c r="C491" s="446" t="s">
        <v>105</v>
      </c>
      <c r="D491" s="446">
        <v>4294</v>
      </c>
      <c r="E491" s="446">
        <v>0</v>
      </c>
      <c r="F491" s="446">
        <v>0</v>
      </c>
      <c r="G491" s="446">
        <v>0</v>
      </c>
      <c r="H491" s="446">
        <v>0</v>
      </c>
      <c r="I491" s="446">
        <v>0</v>
      </c>
      <c r="J491" s="446">
        <v>0</v>
      </c>
      <c r="K491" s="446">
        <v>0</v>
      </c>
      <c r="L491" s="446">
        <v>0</v>
      </c>
      <c r="M491" s="446">
        <v>0</v>
      </c>
      <c r="N491" s="446">
        <v>0</v>
      </c>
      <c r="O491" s="446">
        <v>0</v>
      </c>
      <c r="P491" s="446">
        <v>0</v>
      </c>
      <c r="Q491" s="446">
        <v>0</v>
      </c>
      <c r="R491" s="446">
        <v>0</v>
      </c>
      <c r="S491" s="446">
        <v>0</v>
      </c>
      <c r="T491" s="447">
        <v>0</v>
      </c>
      <c r="U491" s="446">
        <v>3143</v>
      </c>
      <c r="V491" s="446"/>
    </row>
    <row r="492" spans="1:22" ht="25.5" customHeight="1">
      <c r="A492" s="445">
        <v>46289</v>
      </c>
      <c r="B492" s="446" t="s">
        <v>20</v>
      </c>
      <c r="C492" s="446" t="s">
        <v>102</v>
      </c>
      <c r="D492" s="446">
        <v>3200</v>
      </c>
      <c r="E492" s="446">
        <v>0</v>
      </c>
      <c r="F492" s="446">
        <v>0</v>
      </c>
      <c r="G492" s="446">
        <v>0</v>
      </c>
      <c r="H492" s="446">
        <v>0</v>
      </c>
      <c r="I492" s="446">
        <v>0</v>
      </c>
      <c r="J492" s="446">
        <v>0</v>
      </c>
      <c r="K492" s="446">
        <v>0</v>
      </c>
      <c r="L492" s="446">
        <v>0</v>
      </c>
      <c r="M492" s="446">
        <v>0</v>
      </c>
      <c r="N492" s="446">
        <v>0</v>
      </c>
      <c r="O492" s="446">
        <v>0</v>
      </c>
      <c r="P492" s="446">
        <v>0</v>
      </c>
      <c r="Q492" s="446">
        <v>0</v>
      </c>
      <c r="R492" s="446">
        <v>0</v>
      </c>
      <c r="S492" s="446">
        <v>0</v>
      </c>
      <c r="T492" s="447">
        <v>0</v>
      </c>
      <c r="U492" s="446">
        <v>0</v>
      </c>
      <c r="V492" s="446"/>
    </row>
    <row r="493" spans="1:22" ht="25.5" customHeight="1">
      <c r="A493" s="445">
        <v>46289</v>
      </c>
      <c r="B493" s="446" t="s">
        <v>20</v>
      </c>
      <c r="C493" s="446" t="s">
        <v>111</v>
      </c>
      <c r="D493" s="446">
        <v>0</v>
      </c>
      <c r="E493" s="446">
        <v>0</v>
      </c>
      <c r="F493" s="446">
        <v>0</v>
      </c>
      <c r="G493" s="446">
        <v>0</v>
      </c>
      <c r="H493" s="446">
        <v>0</v>
      </c>
      <c r="I493" s="446">
        <v>0</v>
      </c>
      <c r="J493" s="446">
        <v>0</v>
      </c>
      <c r="K493" s="446">
        <v>0</v>
      </c>
      <c r="L493" s="446">
        <v>0</v>
      </c>
      <c r="M493" s="446">
        <v>0</v>
      </c>
      <c r="N493" s="446">
        <v>0</v>
      </c>
      <c r="O493" s="446">
        <v>0</v>
      </c>
      <c r="P493" s="446">
        <v>0</v>
      </c>
      <c r="Q493" s="446">
        <v>0</v>
      </c>
      <c r="R493" s="446">
        <v>0</v>
      </c>
      <c r="S493" s="446">
        <v>0</v>
      </c>
      <c r="T493" s="447">
        <v>0</v>
      </c>
      <c r="U493" s="446">
        <v>0</v>
      </c>
      <c r="V493" s="446"/>
    </row>
    <row r="494" spans="1:22" ht="25.5" customHeight="1">
      <c r="A494" s="445">
        <v>46289</v>
      </c>
      <c r="B494" s="446" t="s">
        <v>21</v>
      </c>
      <c r="C494" s="446" t="s">
        <v>90</v>
      </c>
      <c r="D494" s="446">
        <v>9530</v>
      </c>
      <c r="E494" s="446">
        <v>0</v>
      </c>
      <c r="F494" s="446">
        <v>0</v>
      </c>
      <c r="G494" s="446">
        <v>0</v>
      </c>
      <c r="H494" s="446">
        <v>0</v>
      </c>
      <c r="I494" s="446">
        <v>0</v>
      </c>
      <c r="J494" s="446">
        <v>0</v>
      </c>
      <c r="K494" s="446">
        <v>0</v>
      </c>
      <c r="L494" s="446">
        <v>0</v>
      </c>
      <c r="M494" s="446">
        <v>0</v>
      </c>
      <c r="N494" s="446">
        <v>0</v>
      </c>
      <c r="O494" s="446">
        <v>0</v>
      </c>
      <c r="P494" s="446">
        <v>0</v>
      </c>
      <c r="Q494" s="446">
        <v>0</v>
      </c>
      <c r="R494" s="446">
        <v>0</v>
      </c>
      <c r="S494" s="446">
        <v>0</v>
      </c>
      <c r="T494" s="447">
        <v>0</v>
      </c>
      <c r="U494" s="446">
        <v>863</v>
      </c>
      <c r="V494" s="446"/>
    </row>
    <row r="495" spans="1:22" ht="25.5" customHeight="1">
      <c r="A495" s="445">
        <v>46289</v>
      </c>
      <c r="B495" s="446" t="s">
        <v>21</v>
      </c>
      <c r="C495" s="446" t="s">
        <v>109</v>
      </c>
      <c r="D495" s="446">
        <v>0</v>
      </c>
      <c r="E495" s="446">
        <v>0</v>
      </c>
      <c r="F495" s="446">
        <v>0</v>
      </c>
      <c r="G495" s="446">
        <v>0</v>
      </c>
      <c r="H495" s="446">
        <v>0</v>
      </c>
      <c r="I495" s="446">
        <v>0</v>
      </c>
      <c r="J495" s="446">
        <v>0</v>
      </c>
      <c r="K495" s="446">
        <v>0</v>
      </c>
      <c r="L495" s="446">
        <v>0</v>
      </c>
      <c r="M495" s="446">
        <v>0</v>
      </c>
      <c r="N495" s="446">
        <v>0</v>
      </c>
      <c r="O495" s="446">
        <v>0</v>
      </c>
      <c r="P495" s="446">
        <v>0</v>
      </c>
      <c r="Q495" s="446">
        <v>0</v>
      </c>
      <c r="R495" s="446">
        <v>0</v>
      </c>
      <c r="S495" s="446">
        <v>0</v>
      </c>
      <c r="T495" s="447">
        <v>0</v>
      </c>
      <c r="U495" s="446">
        <v>0</v>
      </c>
      <c r="V495" s="446"/>
    </row>
    <row r="496" spans="1:22" ht="25.5" customHeight="1">
      <c r="A496" s="445">
        <v>46289</v>
      </c>
      <c r="B496" s="446" t="s">
        <v>21</v>
      </c>
      <c r="C496" s="446" t="s">
        <v>103</v>
      </c>
      <c r="D496" s="446">
        <v>5320</v>
      </c>
      <c r="E496" s="446">
        <v>0</v>
      </c>
      <c r="F496" s="446">
        <v>0</v>
      </c>
      <c r="G496" s="446">
        <v>0</v>
      </c>
      <c r="H496" s="446">
        <v>0</v>
      </c>
      <c r="I496" s="446">
        <v>0</v>
      </c>
      <c r="J496" s="446">
        <v>0</v>
      </c>
      <c r="K496" s="446">
        <v>0</v>
      </c>
      <c r="L496" s="446">
        <v>0</v>
      </c>
      <c r="M496" s="446">
        <v>0</v>
      </c>
      <c r="N496" s="446">
        <v>0</v>
      </c>
      <c r="O496" s="446">
        <v>0</v>
      </c>
      <c r="P496" s="446">
        <v>0</v>
      </c>
      <c r="Q496" s="446">
        <v>0</v>
      </c>
      <c r="R496" s="446">
        <v>0</v>
      </c>
      <c r="S496" s="446">
        <v>0</v>
      </c>
      <c r="T496" s="447">
        <v>0</v>
      </c>
      <c r="U496" s="446">
        <v>730</v>
      </c>
      <c r="V496" s="446"/>
    </row>
    <row r="497" spans="1:22" ht="25.5" customHeight="1">
      <c r="A497" s="445">
        <v>46289</v>
      </c>
      <c r="B497" s="446" t="s">
        <v>21</v>
      </c>
      <c r="C497" s="446" t="s">
        <v>112</v>
      </c>
      <c r="D497" s="446">
        <v>4565</v>
      </c>
      <c r="E497" s="446">
        <v>0</v>
      </c>
      <c r="F497" s="446">
        <v>0</v>
      </c>
      <c r="G497" s="446">
        <v>0</v>
      </c>
      <c r="H497" s="446">
        <v>0</v>
      </c>
      <c r="I497" s="446">
        <v>0</v>
      </c>
      <c r="J497" s="446">
        <v>0</v>
      </c>
      <c r="K497" s="446">
        <v>0</v>
      </c>
      <c r="L497" s="446">
        <v>0</v>
      </c>
      <c r="M497" s="446">
        <v>0</v>
      </c>
      <c r="N497" s="446">
        <v>0</v>
      </c>
      <c r="O497" s="446">
        <v>0</v>
      </c>
      <c r="P497" s="446">
        <v>0</v>
      </c>
      <c r="Q497" s="446">
        <v>0</v>
      </c>
      <c r="R497" s="446">
        <v>0</v>
      </c>
      <c r="S497" s="446">
        <v>0</v>
      </c>
      <c r="T497" s="447">
        <v>0</v>
      </c>
      <c r="U497" s="446">
        <v>1025</v>
      </c>
      <c r="V497" s="446"/>
    </row>
    <row r="498" spans="1:22" ht="25.5" customHeight="1">
      <c r="A498" s="445">
        <v>46290</v>
      </c>
      <c r="B498" s="446" t="s">
        <v>17</v>
      </c>
      <c r="C498" s="446" t="s">
        <v>96</v>
      </c>
      <c r="D498" s="446">
        <v>0</v>
      </c>
      <c r="E498" s="446">
        <v>0</v>
      </c>
      <c r="F498" s="446">
        <v>0</v>
      </c>
      <c r="G498" s="446">
        <v>0</v>
      </c>
      <c r="H498" s="446">
        <v>0</v>
      </c>
      <c r="I498" s="446">
        <v>0</v>
      </c>
      <c r="J498" s="446">
        <v>0</v>
      </c>
      <c r="K498" s="446">
        <v>0</v>
      </c>
      <c r="L498" s="446">
        <v>0</v>
      </c>
      <c r="M498" s="446">
        <v>0</v>
      </c>
      <c r="N498" s="446">
        <v>0</v>
      </c>
      <c r="O498" s="446">
        <v>0</v>
      </c>
      <c r="P498" s="446">
        <v>0</v>
      </c>
      <c r="Q498" s="446">
        <v>0</v>
      </c>
      <c r="R498" s="446">
        <v>0</v>
      </c>
      <c r="S498" s="446">
        <v>0</v>
      </c>
      <c r="T498" s="447">
        <v>0</v>
      </c>
      <c r="U498" s="446">
        <v>0</v>
      </c>
      <c r="V498" s="446"/>
    </row>
    <row r="499" spans="1:22" ht="25.5" customHeight="1">
      <c r="A499" s="445">
        <v>46290</v>
      </c>
      <c r="B499" s="446" t="s">
        <v>17</v>
      </c>
      <c r="C499" s="446" t="s">
        <v>108</v>
      </c>
      <c r="D499" s="446">
        <v>1896</v>
      </c>
      <c r="E499" s="446">
        <v>0</v>
      </c>
      <c r="F499" s="446">
        <v>0</v>
      </c>
      <c r="G499" s="446">
        <v>0</v>
      </c>
      <c r="H499" s="446">
        <v>13.5</v>
      </c>
      <c r="I499" s="446">
        <v>2</v>
      </c>
      <c r="J499" s="446">
        <v>1</v>
      </c>
      <c r="K499" s="446">
        <v>0</v>
      </c>
      <c r="L499" s="446">
        <v>1</v>
      </c>
      <c r="M499" s="446">
        <v>1</v>
      </c>
      <c r="N499" s="446">
        <v>1</v>
      </c>
      <c r="O499" s="446">
        <v>1</v>
      </c>
      <c r="P499" s="446">
        <v>1</v>
      </c>
      <c r="Q499" s="446">
        <v>0</v>
      </c>
      <c r="R499" s="446">
        <v>1</v>
      </c>
      <c r="S499" s="446">
        <v>0</v>
      </c>
      <c r="T499" s="447">
        <v>0</v>
      </c>
      <c r="U499" s="446">
        <v>0</v>
      </c>
      <c r="V499" s="446"/>
    </row>
    <row r="500" spans="1:22" ht="25.5" customHeight="1">
      <c r="A500" s="445">
        <v>46290</v>
      </c>
      <c r="B500" s="446" t="s">
        <v>17</v>
      </c>
      <c r="C500" s="446" t="s">
        <v>101</v>
      </c>
      <c r="D500" s="446">
        <v>900</v>
      </c>
      <c r="E500" s="446">
        <v>0</v>
      </c>
      <c r="F500" s="446">
        <v>0</v>
      </c>
      <c r="G500" s="446">
        <v>0</v>
      </c>
      <c r="H500" s="446">
        <v>6.5</v>
      </c>
      <c r="I500" s="446">
        <v>1</v>
      </c>
      <c r="J500" s="446">
        <v>0</v>
      </c>
      <c r="K500" s="446">
        <v>0</v>
      </c>
      <c r="L500" s="446">
        <v>1</v>
      </c>
      <c r="M500" s="446">
        <v>0</v>
      </c>
      <c r="N500" s="446">
        <v>0</v>
      </c>
      <c r="O500" s="446">
        <v>1</v>
      </c>
      <c r="P500" s="446">
        <v>1</v>
      </c>
      <c r="Q500" s="446">
        <v>0</v>
      </c>
      <c r="R500" s="446">
        <v>1</v>
      </c>
      <c r="S500" s="446">
        <v>0</v>
      </c>
      <c r="T500" s="447">
        <v>0</v>
      </c>
      <c r="U500" s="446">
        <v>0</v>
      </c>
      <c r="V500" s="446"/>
    </row>
    <row r="501" spans="1:22" ht="25.5" customHeight="1">
      <c r="A501" s="445">
        <v>46290</v>
      </c>
      <c r="B501" s="446" t="s">
        <v>17</v>
      </c>
      <c r="C501" s="446" t="s">
        <v>106</v>
      </c>
      <c r="D501" s="446">
        <v>650</v>
      </c>
      <c r="E501" s="446">
        <v>0</v>
      </c>
      <c r="F501" s="446">
        <v>0</v>
      </c>
      <c r="G501" s="446">
        <v>0</v>
      </c>
      <c r="H501" s="446">
        <v>3.5</v>
      </c>
      <c r="I501" s="446">
        <v>1</v>
      </c>
      <c r="J501" s="446">
        <v>0</v>
      </c>
      <c r="K501" s="446">
        <v>1</v>
      </c>
      <c r="L501" s="446">
        <v>0</v>
      </c>
      <c r="M501" s="446">
        <v>0</v>
      </c>
      <c r="N501" s="446">
        <v>0</v>
      </c>
      <c r="O501" s="446">
        <v>0</v>
      </c>
      <c r="P501" s="446">
        <v>0</v>
      </c>
      <c r="Q501" s="446">
        <v>0</v>
      </c>
      <c r="R501" s="446">
        <v>0</v>
      </c>
      <c r="S501" s="446">
        <v>0</v>
      </c>
      <c r="T501" s="447">
        <v>0</v>
      </c>
      <c r="U501" s="446">
        <v>0</v>
      </c>
      <c r="V501" s="446"/>
    </row>
    <row r="502" spans="1:22" ht="25.5" customHeight="1">
      <c r="A502" s="445">
        <v>46290</v>
      </c>
      <c r="B502" s="446" t="s">
        <v>22</v>
      </c>
      <c r="C502" s="446" t="s">
        <v>23</v>
      </c>
      <c r="D502" s="446">
        <v>3850</v>
      </c>
      <c r="E502" s="446">
        <v>0</v>
      </c>
      <c r="F502" s="446">
        <v>0</v>
      </c>
      <c r="G502" s="446">
        <v>0</v>
      </c>
      <c r="H502" s="446">
        <v>7</v>
      </c>
      <c r="I502" s="446">
        <v>2</v>
      </c>
      <c r="J502" s="446">
        <v>0</v>
      </c>
      <c r="K502" s="446">
        <v>1</v>
      </c>
      <c r="L502" s="446">
        <v>0</v>
      </c>
      <c r="M502" s="446">
        <v>0</v>
      </c>
      <c r="N502" s="446">
        <v>0</v>
      </c>
      <c r="O502" s="446">
        <v>1</v>
      </c>
      <c r="P502" s="446">
        <v>0</v>
      </c>
      <c r="Q502" s="446">
        <v>0</v>
      </c>
      <c r="R502" s="446">
        <v>0</v>
      </c>
      <c r="S502" s="446">
        <v>0</v>
      </c>
      <c r="T502" s="447">
        <v>0</v>
      </c>
      <c r="U502" s="446">
        <v>0</v>
      </c>
      <c r="V502" s="446"/>
    </row>
    <row r="503" spans="1:22" ht="25.5" customHeight="1">
      <c r="A503" s="445">
        <v>46290</v>
      </c>
      <c r="B503" s="446" t="s">
        <v>18</v>
      </c>
      <c r="C503" s="446" t="s">
        <v>97</v>
      </c>
      <c r="D503" s="446">
        <v>7660</v>
      </c>
      <c r="E503" s="446">
        <v>0</v>
      </c>
      <c r="F503" s="446">
        <v>0</v>
      </c>
      <c r="G503" s="446">
        <v>0</v>
      </c>
      <c r="H503" s="446">
        <v>7</v>
      </c>
      <c r="I503" s="446">
        <v>2</v>
      </c>
      <c r="J503" s="446">
        <v>0</v>
      </c>
      <c r="K503" s="446">
        <v>0</v>
      </c>
      <c r="L503" s="446">
        <v>0</v>
      </c>
      <c r="M503" s="446">
        <v>0</v>
      </c>
      <c r="N503" s="446">
        <v>0</v>
      </c>
      <c r="O503" s="446">
        <v>2</v>
      </c>
      <c r="P503" s="446">
        <v>0</v>
      </c>
      <c r="Q503" s="446">
        <v>0</v>
      </c>
      <c r="R503" s="446">
        <v>0</v>
      </c>
      <c r="S503" s="446">
        <v>0</v>
      </c>
      <c r="T503" s="447">
        <v>0</v>
      </c>
      <c r="U503" s="446">
        <v>0</v>
      </c>
      <c r="V503" s="446"/>
    </row>
    <row r="504" spans="1:22" ht="25.5" customHeight="1">
      <c r="A504" s="445">
        <v>46290</v>
      </c>
      <c r="B504" s="446" t="s">
        <v>18</v>
      </c>
      <c r="C504" s="446" t="s">
        <v>98</v>
      </c>
      <c r="D504" s="446">
        <v>8900</v>
      </c>
      <c r="E504" s="446">
        <v>0</v>
      </c>
      <c r="F504" s="446">
        <v>0</v>
      </c>
      <c r="G504" s="446">
        <v>0</v>
      </c>
      <c r="H504" s="446">
        <v>18.5</v>
      </c>
      <c r="I504" s="446">
        <v>2</v>
      </c>
      <c r="J504" s="446">
        <v>0</v>
      </c>
      <c r="K504" s="446">
        <v>1</v>
      </c>
      <c r="L504" s="446">
        <v>1</v>
      </c>
      <c r="M504" s="446">
        <v>1</v>
      </c>
      <c r="N504" s="446">
        <v>0</v>
      </c>
      <c r="O504" s="446">
        <v>1</v>
      </c>
      <c r="P504" s="446">
        <v>1</v>
      </c>
      <c r="Q504" s="446">
        <v>0</v>
      </c>
      <c r="R504" s="446">
        <v>2</v>
      </c>
      <c r="S504" s="446">
        <v>0</v>
      </c>
      <c r="T504" s="447">
        <v>0</v>
      </c>
      <c r="U504" s="446">
        <v>0</v>
      </c>
      <c r="V504" s="446"/>
    </row>
    <row r="505" spans="1:22" ht="25.5" customHeight="1">
      <c r="A505" s="445">
        <v>46290</v>
      </c>
      <c r="B505" s="446" t="s">
        <v>18</v>
      </c>
      <c r="C505" s="446" t="s">
        <v>110</v>
      </c>
      <c r="D505" s="446">
        <v>0</v>
      </c>
      <c r="E505" s="446">
        <v>0</v>
      </c>
      <c r="F505" s="446">
        <v>0</v>
      </c>
      <c r="G505" s="446">
        <v>0</v>
      </c>
      <c r="H505" s="446">
        <v>0</v>
      </c>
      <c r="I505" s="446">
        <v>0</v>
      </c>
      <c r="J505" s="446">
        <v>0</v>
      </c>
      <c r="K505" s="446">
        <v>0</v>
      </c>
      <c r="L505" s="446">
        <v>0</v>
      </c>
      <c r="M505" s="446">
        <v>0</v>
      </c>
      <c r="N505" s="446">
        <v>0</v>
      </c>
      <c r="O505" s="446">
        <v>0</v>
      </c>
      <c r="P505" s="446">
        <v>0</v>
      </c>
      <c r="Q505" s="446">
        <v>0</v>
      </c>
      <c r="R505" s="446">
        <v>0</v>
      </c>
      <c r="S505" s="446">
        <v>0</v>
      </c>
      <c r="T505" s="447">
        <v>0</v>
      </c>
      <c r="U505" s="446">
        <v>0</v>
      </c>
      <c r="V505" s="446"/>
    </row>
    <row r="506" spans="1:22" ht="25.5" customHeight="1">
      <c r="A506" s="445">
        <v>46290</v>
      </c>
      <c r="B506" s="446" t="s">
        <v>19</v>
      </c>
      <c r="C506" s="446" t="s">
        <v>99</v>
      </c>
      <c r="D506" s="446">
        <v>2365</v>
      </c>
      <c r="E506" s="446">
        <v>0</v>
      </c>
      <c r="F506" s="446">
        <v>0</v>
      </c>
      <c r="G506" s="446">
        <v>0</v>
      </c>
      <c r="H506" s="446">
        <v>8.5</v>
      </c>
      <c r="I506" s="446">
        <v>1</v>
      </c>
      <c r="J506" s="446">
        <v>1</v>
      </c>
      <c r="K506" s="446">
        <v>0</v>
      </c>
      <c r="L506" s="446">
        <v>1</v>
      </c>
      <c r="M506" s="446">
        <v>0</v>
      </c>
      <c r="N506" s="446">
        <v>0</v>
      </c>
      <c r="O506" s="446">
        <v>1</v>
      </c>
      <c r="P506" s="446">
        <v>0</v>
      </c>
      <c r="Q506" s="446">
        <v>0</v>
      </c>
      <c r="R506" s="446">
        <v>1</v>
      </c>
      <c r="S506" s="446">
        <v>0</v>
      </c>
      <c r="T506" s="447">
        <v>0</v>
      </c>
      <c r="U506" s="446">
        <v>460</v>
      </c>
      <c r="V506" s="446"/>
    </row>
    <row r="507" spans="1:22" ht="25.5" customHeight="1">
      <c r="A507" s="445">
        <v>46290</v>
      </c>
      <c r="B507" s="446" t="s">
        <v>19</v>
      </c>
      <c r="C507" s="446" t="s">
        <v>88</v>
      </c>
      <c r="D507" s="446">
        <v>0</v>
      </c>
      <c r="E507" s="446">
        <v>0</v>
      </c>
      <c r="F507" s="446">
        <v>0</v>
      </c>
      <c r="G507" s="446">
        <v>0</v>
      </c>
      <c r="H507" s="446">
        <v>0</v>
      </c>
      <c r="I507" s="446">
        <v>0</v>
      </c>
      <c r="J507" s="446">
        <v>0</v>
      </c>
      <c r="K507" s="446">
        <v>0</v>
      </c>
      <c r="L507" s="446">
        <v>0</v>
      </c>
      <c r="M507" s="446">
        <v>0</v>
      </c>
      <c r="N507" s="446">
        <v>0</v>
      </c>
      <c r="O507" s="446">
        <v>0</v>
      </c>
      <c r="P507" s="446">
        <v>0</v>
      </c>
      <c r="Q507" s="446">
        <v>0</v>
      </c>
      <c r="R507" s="446">
        <v>0</v>
      </c>
      <c r="S507" s="446">
        <v>0</v>
      </c>
      <c r="T507" s="447">
        <v>0</v>
      </c>
      <c r="U507" s="446">
        <v>0</v>
      </c>
      <c r="V507" s="446"/>
    </row>
    <row r="508" spans="1:22" ht="25.5" customHeight="1">
      <c r="A508" s="445">
        <v>46290</v>
      </c>
      <c r="B508" s="446" t="s">
        <v>19</v>
      </c>
      <c r="C508" s="446" t="s">
        <v>107</v>
      </c>
      <c r="D508" s="446">
        <v>4198</v>
      </c>
      <c r="E508" s="446">
        <v>0</v>
      </c>
      <c r="F508" s="446">
        <v>0</v>
      </c>
      <c r="G508" s="446">
        <v>0</v>
      </c>
      <c r="H508" s="446">
        <v>8.5</v>
      </c>
      <c r="I508" s="446">
        <v>1</v>
      </c>
      <c r="J508" s="446">
        <v>0</v>
      </c>
      <c r="K508" s="446">
        <v>0</v>
      </c>
      <c r="L508" s="446">
        <v>1</v>
      </c>
      <c r="M508" s="446">
        <v>1</v>
      </c>
      <c r="N508" s="446">
        <v>0</v>
      </c>
      <c r="O508" s="446">
        <v>1</v>
      </c>
      <c r="P508" s="446">
        <v>1</v>
      </c>
      <c r="Q508" s="446">
        <v>0</v>
      </c>
      <c r="R508" s="446">
        <v>1</v>
      </c>
      <c r="S508" s="446">
        <v>0</v>
      </c>
      <c r="T508" s="447">
        <v>0</v>
      </c>
      <c r="U508" s="446">
        <v>1202</v>
      </c>
      <c r="V508" s="446"/>
    </row>
    <row r="509" spans="1:22" ht="25.5" customHeight="1">
      <c r="A509" s="445">
        <v>46290</v>
      </c>
      <c r="B509" s="446" t="s">
        <v>20</v>
      </c>
      <c r="C509" s="446" t="s">
        <v>93</v>
      </c>
      <c r="D509" s="446">
        <v>0</v>
      </c>
      <c r="E509" s="446">
        <v>0</v>
      </c>
      <c r="F509" s="446">
        <v>0</v>
      </c>
      <c r="G509" s="446">
        <v>0</v>
      </c>
      <c r="H509" s="446">
        <v>0</v>
      </c>
      <c r="I509" s="446">
        <v>0</v>
      </c>
      <c r="J509" s="446">
        <v>0</v>
      </c>
      <c r="K509" s="446">
        <v>0</v>
      </c>
      <c r="L509" s="446">
        <v>0</v>
      </c>
      <c r="M509" s="446">
        <v>0</v>
      </c>
      <c r="N509" s="446">
        <v>0</v>
      </c>
      <c r="O509" s="446">
        <v>0</v>
      </c>
      <c r="P509" s="446">
        <v>0</v>
      </c>
      <c r="Q509" s="446">
        <v>0</v>
      </c>
      <c r="R509" s="446">
        <v>0</v>
      </c>
      <c r="S509" s="446">
        <v>0</v>
      </c>
      <c r="T509" s="447">
        <v>0</v>
      </c>
      <c r="U509" s="446">
        <v>0</v>
      </c>
      <c r="V509" s="446"/>
    </row>
    <row r="510" spans="1:22" ht="25.5" customHeight="1">
      <c r="A510" s="445">
        <v>46290</v>
      </c>
      <c r="B510" s="446" t="s">
        <v>20</v>
      </c>
      <c r="C510" s="446" t="s">
        <v>105</v>
      </c>
      <c r="D510" s="446">
        <v>0</v>
      </c>
      <c r="E510" s="446">
        <v>0</v>
      </c>
      <c r="F510" s="446">
        <v>0</v>
      </c>
      <c r="G510" s="446">
        <v>0</v>
      </c>
      <c r="H510" s="446">
        <v>0</v>
      </c>
      <c r="I510" s="446">
        <v>0</v>
      </c>
      <c r="J510" s="446">
        <v>0</v>
      </c>
      <c r="K510" s="446">
        <v>0</v>
      </c>
      <c r="L510" s="446">
        <v>0</v>
      </c>
      <c r="M510" s="446">
        <v>0</v>
      </c>
      <c r="N510" s="446">
        <v>0</v>
      </c>
      <c r="O510" s="446">
        <v>0</v>
      </c>
      <c r="P510" s="446">
        <v>0</v>
      </c>
      <c r="Q510" s="446">
        <v>0</v>
      </c>
      <c r="R510" s="446">
        <v>0</v>
      </c>
      <c r="S510" s="446">
        <v>0</v>
      </c>
      <c r="T510" s="447">
        <v>0</v>
      </c>
      <c r="U510" s="446">
        <v>0</v>
      </c>
      <c r="V510" s="446"/>
    </row>
    <row r="511" spans="1:22" ht="25.5" customHeight="1">
      <c r="A511" s="445">
        <v>46290</v>
      </c>
      <c r="B511" s="446" t="s">
        <v>20</v>
      </c>
      <c r="C511" s="446" t="s">
        <v>102</v>
      </c>
      <c r="D511" s="446">
        <v>2741</v>
      </c>
      <c r="E511" s="446">
        <v>0</v>
      </c>
      <c r="F511" s="446">
        <v>0</v>
      </c>
      <c r="G511" s="446">
        <v>0</v>
      </c>
      <c r="H511" s="446">
        <v>3</v>
      </c>
      <c r="I511" s="446">
        <v>0</v>
      </c>
      <c r="J511" s="446">
        <v>0</v>
      </c>
      <c r="K511" s="446">
        <v>0</v>
      </c>
      <c r="L511" s="446">
        <v>1</v>
      </c>
      <c r="M511" s="446">
        <v>1</v>
      </c>
      <c r="N511" s="446">
        <v>0</v>
      </c>
      <c r="O511" s="446">
        <v>1</v>
      </c>
      <c r="P511" s="446">
        <v>0</v>
      </c>
      <c r="Q511" s="446">
        <v>0</v>
      </c>
      <c r="R511" s="446">
        <v>1</v>
      </c>
      <c r="S511" s="446">
        <v>0</v>
      </c>
      <c r="T511" s="447">
        <v>0</v>
      </c>
      <c r="U511" s="446">
        <v>439</v>
      </c>
      <c r="V511" s="446"/>
    </row>
    <row r="512" spans="1:22" ht="25.5" customHeight="1">
      <c r="A512" s="445">
        <v>46290</v>
      </c>
      <c r="B512" s="446" t="s">
        <v>20</v>
      </c>
      <c r="C512" s="446" t="s">
        <v>111</v>
      </c>
      <c r="D512" s="446">
        <v>0</v>
      </c>
      <c r="E512" s="446">
        <v>0</v>
      </c>
      <c r="F512" s="446">
        <v>0</v>
      </c>
      <c r="G512" s="446">
        <v>0</v>
      </c>
      <c r="H512" s="446">
        <v>0</v>
      </c>
      <c r="I512" s="446">
        <v>0</v>
      </c>
      <c r="J512" s="446">
        <v>0</v>
      </c>
      <c r="K512" s="446">
        <v>0</v>
      </c>
      <c r="L512" s="446">
        <v>0</v>
      </c>
      <c r="M512" s="446">
        <v>0</v>
      </c>
      <c r="N512" s="446">
        <v>0</v>
      </c>
      <c r="O512" s="446">
        <v>0</v>
      </c>
      <c r="P512" s="446">
        <v>0</v>
      </c>
      <c r="Q512" s="446">
        <v>0</v>
      </c>
      <c r="R512" s="446">
        <v>0</v>
      </c>
      <c r="S512" s="446">
        <v>0</v>
      </c>
      <c r="T512" s="447">
        <v>0</v>
      </c>
      <c r="U512" s="446">
        <v>0</v>
      </c>
      <c r="V512" s="446"/>
    </row>
    <row r="513" spans="1:22" ht="25.5" customHeight="1">
      <c r="A513" s="445">
        <v>46290</v>
      </c>
      <c r="B513" s="446" t="s">
        <v>21</v>
      </c>
      <c r="C513" s="446" t="s">
        <v>90</v>
      </c>
      <c r="D513" s="446">
        <v>3911</v>
      </c>
      <c r="E513" s="446">
        <v>0</v>
      </c>
      <c r="F513" s="446">
        <v>0</v>
      </c>
      <c r="G513" s="446">
        <v>0</v>
      </c>
      <c r="H513" s="446">
        <v>1.8</v>
      </c>
      <c r="I513" s="446">
        <v>1</v>
      </c>
      <c r="J513" s="446">
        <v>0</v>
      </c>
      <c r="K513" s="446">
        <v>1</v>
      </c>
      <c r="L513" s="446">
        <v>0</v>
      </c>
      <c r="M513" s="446">
        <v>0</v>
      </c>
      <c r="N513" s="446">
        <v>0</v>
      </c>
      <c r="O513" s="446">
        <v>0</v>
      </c>
      <c r="P513" s="446">
        <v>0</v>
      </c>
      <c r="Q513" s="446">
        <v>0</v>
      </c>
      <c r="R513" s="446">
        <v>1</v>
      </c>
      <c r="S513" s="446">
        <v>0</v>
      </c>
      <c r="T513" s="447">
        <v>0</v>
      </c>
      <c r="U513" s="446">
        <v>1489</v>
      </c>
      <c r="V513" s="446"/>
    </row>
    <row r="514" spans="1:22" ht="25.5" customHeight="1">
      <c r="A514" s="445">
        <v>46290</v>
      </c>
      <c r="B514" s="446" t="s">
        <v>21</v>
      </c>
      <c r="C514" s="446" t="s">
        <v>109</v>
      </c>
      <c r="D514" s="446">
        <v>0</v>
      </c>
      <c r="E514" s="446">
        <v>0</v>
      </c>
      <c r="F514" s="446">
        <v>0</v>
      </c>
      <c r="G514" s="446">
        <v>0</v>
      </c>
      <c r="H514" s="446">
        <v>0</v>
      </c>
      <c r="I514" s="446">
        <v>0</v>
      </c>
      <c r="J514" s="446">
        <v>0</v>
      </c>
      <c r="K514" s="446">
        <v>0</v>
      </c>
      <c r="L514" s="446">
        <v>0</v>
      </c>
      <c r="M514" s="446">
        <v>0</v>
      </c>
      <c r="N514" s="446">
        <v>0</v>
      </c>
      <c r="O514" s="446">
        <v>0</v>
      </c>
      <c r="P514" s="446">
        <v>0</v>
      </c>
      <c r="Q514" s="446">
        <v>0</v>
      </c>
      <c r="R514" s="446">
        <v>0</v>
      </c>
      <c r="S514" s="446">
        <v>0</v>
      </c>
      <c r="T514" s="447">
        <v>0</v>
      </c>
      <c r="U514" s="446">
        <v>0</v>
      </c>
      <c r="V514" s="446"/>
    </row>
    <row r="515" spans="1:22" ht="25.5" customHeight="1">
      <c r="A515" s="445">
        <v>46290</v>
      </c>
      <c r="B515" s="446" t="s">
        <v>21</v>
      </c>
      <c r="C515" s="446" t="s">
        <v>103</v>
      </c>
      <c r="D515" s="446">
        <v>540</v>
      </c>
      <c r="E515" s="446">
        <v>0</v>
      </c>
      <c r="F515" s="446">
        <v>0</v>
      </c>
      <c r="G515" s="446">
        <v>0</v>
      </c>
      <c r="H515" s="446">
        <v>0</v>
      </c>
      <c r="I515" s="446">
        <v>0</v>
      </c>
      <c r="J515" s="446">
        <v>0</v>
      </c>
      <c r="K515" s="446">
        <v>0</v>
      </c>
      <c r="L515" s="446">
        <v>0</v>
      </c>
      <c r="M515" s="446">
        <v>0</v>
      </c>
      <c r="N515" s="446">
        <v>0</v>
      </c>
      <c r="O515" s="446">
        <v>0</v>
      </c>
      <c r="P515" s="446">
        <v>0</v>
      </c>
      <c r="Q515" s="446">
        <v>0</v>
      </c>
      <c r="R515" s="446">
        <v>0</v>
      </c>
      <c r="S515" s="446">
        <v>0</v>
      </c>
      <c r="T515" s="447">
        <v>0</v>
      </c>
      <c r="U515" s="446">
        <v>0</v>
      </c>
      <c r="V515" s="446"/>
    </row>
    <row r="516" spans="1:22" ht="25.5" customHeight="1">
      <c r="A516" s="445">
        <v>46290</v>
      </c>
      <c r="B516" s="446" t="s">
        <v>21</v>
      </c>
      <c r="C516" s="446" t="s">
        <v>112</v>
      </c>
      <c r="D516" s="446">
        <v>445</v>
      </c>
      <c r="E516" s="446">
        <v>2.5</v>
      </c>
      <c r="F516" s="446">
        <v>0</v>
      </c>
      <c r="G516" s="446">
        <v>0</v>
      </c>
      <c r="H516" s="446">
        <v>0</v>
      </c>
      <c r="I516" s="446">
        <v>0</v>
      </c>
      <c r="J516" s="446">
        <v>0</v>
      </c>
      <c r="K516" s="446">
        <v>0</v>
      </c>
      <c r="L516" s="446">
        <v>0</v>
      </c>
      <c r="M516" s="446">
        <v>0</v>
      </c>
      <c r="N516" s="446">
        <v>0</v>
      </c>
      <c r="O516" s="446">
        <v>0</v>
      </c>
      <c r="P516" s="446">
        <v>0</v>
      </c>
      <c r="Q516" s="446">
        <v>0</v>
      </c>
      <c r="R516" s="446">
        <v>0</v>
      </c>
      <c r="S516" s="446">
        <v>0</v>
      </c>
      <c r="T516" s="447">
        <v>0</v>
      </c>
      <c r="U516" s="446">
        <v>455</v>
      </c>
      <c r="V516" s="446"/>
    </row>
    <row r="517" spans="1:22" ht="25.5" customHeight="1">
      <c r="A517" s="445">
        <v>46291</v>
      </c>
      <c r="B517" s="446" t="s">
        <v>17</v>
      </c>
      <c r="C517" s="446" t="s">
        <v>96</v>
      </c>
      <c r="D517" s="446">
        <v>0</v>
      </c>
      <c r="E517" s="446">
        <v>0</v>
      </c>
      <c r="F517" s="446">
        <v>0</v>
      </c>
      <c r="G517" s="446">
        <v>0</v>
      </c>
      <c r="H517" s="446">
        <v>0</v>
      </c>
      <c r="I517" s="446">
        <v>0</v>
      </c>
      <c r="J517" s="446">
        <v>0</v>
      </c>
      <c r="K517" s="446">
        <v>0</v>
      </c>
      <c r="L517" s="446">
        <v>0</v>
      </c>
      <c r="M517" s="446">
        <v>0</v>
      </c>
      <c r="N517" s="446">
        <v>0</v>
      </c>
      <c r="O517" s="446">
        <v>0</v>
      </c>
      <c r="P517" s="446">
        <v>0</v>
      </c>
      <c r="Q517" s="446">
        <v>0</v>
      </c>
      <c r="R517" s="446">
        <v>0</v>
      </c>
      <c r="S517" s="446">
        <v>0</v>
      </c>
      <c r="T517" s="447">
        <v>0</v>
      </c>
      <c r="U517" s="446">
        <v>0</v>
      </c>
      <c r="V517" s="446"/>
    </row>
    <row r="518" spans="1:22" ht="25.5" customHeight="1">
      <c r="A518" s="445">
        <v>46291</v>
      </c>
      <c r="B518" s="446" t="s">
        <v>17</v>
      </c>
      <c r="C518" s="446" t="s">
        <v>108</v>
      </c>
      <c r="D518" s="446">
        <v>0</v>
      </c>
      <c r="E518" s="446">
        <v>0</v>
      </c>
      <c r="F518" s="446">
        <v>0</v>
      </c>
      <c r="G518" s="446">
        <v>0</v>
      </c>
      <c r="H518" s="446">
        <v>0</v>
      </c>
      <c r="I518" s="446">
        <v>0</v>
      </c>
      <c r="J518" s="446">
        <v>0</v>
      </c>
      <c r="K518" s="446">
        <v>0</v>
      </c>
      <c r="L518" s="446">
        <v>0</v>
      </c>
      <c r="M518" s="446">
        <v>0</v>
      </c>
      <c r="N518" s="446">
        <v>0</v>
      </c>
      <c r="O518" s="446">
        <v>0</v>
      </c>
      <c r="P518" s="446">
        <v>0</v>
      </c>
      <c r="Q518" s="446">
        <v>0</v>
      </c>
      <c r="R518" s="446">
        <v>0</v>
      </c>
      <c r="S518" s="446">
        <v>0</v>
      </c>
      <c r="T518" s="447">
        <v>0</v>
      </c>
      <c r="U518" s="446">
        <v>0</v>
      </c>
      <c r="V518" s="446"/>
    </row>
    <row r="519" spans="1:22" ht="25.5" customHeight="1">
      <c r="A519" s="445">
        <v>46291</v>
      </c>
      <c r="B519" s="446" t="s">
        <v>17</v>
      </c>
      <c r="C519" s="446" t="s">
        <v>101</v>
      </c>
      <c r="D519" s="446">
        <v>0</v>
      </c>
      <c r="E519" s="446">
        <v>0</v>
      </c>
      <c r="F519" s="446">
        <v>0</v>
      </c>
      <c r="G519" s="446">
        <v>0</v>
      </c>
      <c r="H519" s="446">
        <v>0</v>
      </c>
      <c r="I519" s="446">
        <v>0</v>
      </c>
      <c r="J519" s="446">
        <v>0</v>
      </c>
      <c r="K519" s="446">
        <v>0</v>
      </c>
      <c r="L519" s="446">
        <v>0</v>
      </c>
      <c r="M519" s="446">
        <v>0</v>
      </c>
      <c r="N519" s="446">
        <v>0</v>
      </c>
      <c r="O519" s="446">
        <v>0</v>
      </c>
      <c r="P519" s="446">
        <v>0</v>
      </c>
      <c r="Q519" s="446">
        <v>0</v>
      </c>
      <c r="R519" s="446">
        <v>0</v>
      </c>
      <c r="S519" s="446">
        <v>0</v>
      </c>
      <c r="T519" s="447">
        <v>0</v>
      </c>
      <c r="U519" s="446">
        <v>0</v>
      </c>
      <c r="V519" s="446"/>
    </row>
    <row r="520" spans="1:22" ht="25.5" customHeight="1">
      <c r="A520" s="445">
        <v>46291</v>
      </c>
      <c r="B520" s="446" t="s">
        <v>17</v>
      </c>
      <c r="C520" s="446" t="s">
        <v>106</v>
      </c>
      <c r="D520" s="446">
        <v>0</v>
      </c>
      <c r="E520" s="446">
        <v>0</v>
      </c>
      <c r="F520" s="446">
        <v>0</v>
      </c>
      <c r="G520" s="446">
        <v>0</v>
      </c>
      <c r="H520" s="446">
        <v>0</v>
      </c>
      <c r="I520" s="446">
        <v>0</v>
      </c>
      <c r="J520" s="446">
        <v>0</v>
      </c>
      <c r="K520" s="446">
        <v>0</v>
      </c>
      <c r="L520" s="446">
        <v>0</v>
      </c>
      <c r="M520" s="446">
        <v>0</v>
      </c>
      <c r="N520" s="446">
        <v>0</v>
      </c>
      <c r="O520" s="446">
        <v>0</v>
      </c>
      <c r="P520" s="446">
        <v>0</v>
      </c>
      <c r="Q520" s="446">
        <v>0</v>
      </c>
      <c r="R520" s="446">
        <v>0</v>
      </c>
      <c r="S520" s="446">
        <v>0</v>
      </c>
      <c r="T520" s="447">
        <v>0</v>
      </c>
      <c r="U520" s="446">
        <v>0</v>
      </c>
      <c r="V520" s="446"/>
    </row>
    <row r="521" spans="1:22" ht="25.5" customHeight="1">
      <c r="A521" s="445">
        <v>46291</v>
      </c>
      <c r="B521" s="446" t="s">
        <v>22</v>
      </c>
      <c r="C521" s="446" t="s">
        <v>23</v>
      </c>
      <c r="D521" s="446">
        <v>0</v>
      </c>
      <c r="E521" s="446">
        <v>0</v>
      </c>
      <c r="F521" s="446">
        <v>0</v>
      </c>
      <c r="G521" s="446">
        <v>0</v>
      </c>
      <c r="H521" s="446">
        <v>0</v>
      </c>
      <c r="I521" s="446">
        <v>0</v>
      </c>
      <c r="J521" s="446">
        <v>0</v>
      </c>
      <c r="K521" s="446">
        <v>0</v>
      </c>
      <c r="L521" s="446">
        <v>0</v>
      </c>
      <c r="M521" s="446">
        <v>0</v>
      </c>
      <c r="N521" s="446">
        <v>0</v>
      </c>
      <c r="O521" s="446">
        <v>0</v>
      </c>
      <c r="P521" s="446">
        <v>0</v>
      </c>
      <c r="Q521" s="446">
        <v>0</v>
      </c>
      <c r="R521" s="446">
        <v>0</v>
      </c>
      <c r="S521" s="446">
        <v>0</v>
      </c>
      <c r="T521" s="447">
        <v>0</v>
      </c>
      <c r="U521" s="446">
        <v>0</v>
      </c>
      <c r="V521" s="446"/>
    </row>
    <row r="522" spans="1:22" ht="25.5" customHeight="1">
      <c r="A522" s="445">
        <v>46291</v>
      </c>
      <c r="B522" s="446" t="s">
        <v>18</v>
      </c>
      <c r="C522" s="446" t="s">
        <v>97</v>
      </c>
      <c r="D522" s="446">
        <v>0</v>
      </c>
      <c r="E522" s="446">
        <v>0</v>
      </c>
      <c r="F522" s="446">
        <v>0</v>
      </c>
      <c r="G522" s="446">
        <v>0</v>
      </c>
      <c r="H522" s="446">
        <v>0</v>
      </c>
      <c r="I522" s="446">
        <v>0</v>
      </c>
      <c r="J522" s="446">
        <v>0</v>
      </c>
      <c r="K522" s="446">
        <v>0</v>
      </c>
      <c r="L522" s="446">
        <v>0</v>
      </c>
      <c r="M522" s="446">
        <v>0</v>
      </c>
      <c r="N522" s="446">
        <v>0</v>
      </c>
      <c r="O522" s="446">
        <v>0</v>
      </c>
      <c r="P522" s="446">
        <v>0</v>
      </c>
      <c r="Q522" s="446">
        <v>0</v>
      </c>
      <c r="R522" s="446">
        <v>0</v>
      </c>
      <c r="S522" s="446">
        <v>0</v>
      </c>
      <c r="T522" s="447">
        <v>0</v>
      </c>
      <c r="U522" s="446">
        <v>0</v>
      </c>
      <c r="V522" s="446"/>
    </row>
    <row r="523" spans="1:22" ht="25.5" customHeight="1">
      <c r="A523" s="445">
        <v>46291</v>
      </c>
      <c r="B523" s="446" t="s">
        <v>18</v>
      </c>
      <c r="C523" s="446" t="s">
        <v>98</v>
      </c>
      <c r="D523" s="446">
        <v>0</v>
      </c>
      <c r="E523" s="446">
        <v>0</v>
      </c>
      <c r="F523" s="446">
        <v>0</v>
      </c>
      <c r="G523" s="446">
        <v>0</v>
      </c>
      <c r="H523" s="446">
        <v>0</v>
      </c>
      <c r="I523" s="446">
        <v>0</v>
      </c>
      <c r="J523" s="446">
        <v>0</v>
      </c>
      <c r="K523" s="446">
        <v>0</v>
      </c>
      <c r="L523" s="446">
        <v>0</v>
      </c>
      <c r="M523" s="446">
        <v>0</v>
      </c>
      <c r="N523" s="446">
        <v>0</v>
      </c>
      <c r="O523" s="446">
        <v>0</v>
      </c>
      <c r="P523" s="446">
        <v>0</v>
      </c>
      <c r="Q523" s="446">
        <v>0</v>
      </c>
      <c r="R523" s="446">
        <v>0</v>
      </c>
      <c r="S523" s="446">
        <v>0</v>
      </c>
      <c r="T523" s="447">
        <v>0</v>
      </c>
      <c r="U523" s="446">
        <v>0</v>
      </c>
      <c r="V523" s="446"/>
    </row>
    <row r="524" spans="1:22" ht="25.5" customHeight="1">
      <c r="A524" s="445">
        <v>46291</v>
      </c>
      <c r="B524" s="446" t="s">
        <v>18</v>
      </c>
      <c r="C524" s="446" t="s">
        <v>110</v>
      </c>
      <c r="D524" s="446">
        <v>0</v>
      </c>
      <c r="E524" s="446">
        <v>0</v>
      </c>
      <c r="F524" s="446">
        <v>0</v>
      </c>
      <c r="G524" s="446">
        <v>0</v>
      </c>
      <c r="H524" s="446">
        <v>0</v>
      </c>
      <c r="I524" s="446">
        <v>0</v>
      </c>
      <c r="J524" s="446">
        <v>0</v>
      </c>
      <c r="K524" s="446">
        <v>0</v>
      </c>
      <c r="L524" s="446">
        <v>0</v>
      </c>
      <c r="M524" s="446">
        <v>0</v>
      </c>
      <c r="N524" s="446">
        <v>0</v>
      </c>
      <c r="O524" s="446">
        <v>0</v>
      </c>
      <c r="P524" s="446">
        <v>0</v>
      </c>
      <c r="Q524" s="446">
        <v>0</v>
      </c>
      <c r="R524" s="446">
        <v>0</v>
      </c>
      <c r="S524" s="446">
        <v>0</v>
      </c>
      <c r="T524" s="447">
        <v>0</v>
      </c>
      <c r="U524" s="446">
        <v>0</v>
      </c>
      <c r="V524" s="446"/>
    </row>
    <row r="525" spans="1:22" ht="25.5" customHeight="1">
      <c r="A525" s="445">
        <v>46291</v>
      </c>
      <c r="B525" s="446" t="s">
        <v>19</v>
      </c>
      <c r="C525" s="446" t="s">
        <v>99</v>
      </c>
      <c r="D525" s="446">
        <v>0</v>
      </c>
      <c r="E525" s="446">
        <v>0</v>
      </c>
      <c r="F525" s="446">
        <v>0</v>
      </c>
      <c r="G525" s="446">
        <v>0</v>
      </c>
      <c r="H525" s="446">
        <v>0</v>
      </c>
      <c r="I525" s="446">
        <v>0</v>
      </c>
      <c r="J525" s="446">
        <v>0</v>
      </c>
      <c r="K525" s="446">
        <v>0</v>
      </c>
      <c r="L525" s="446">
        <v>0</v>
      </c>
      <c r="M525" s="446">
        <v>0</v>
      </c>
      <c r="N525" s="446">
        <v>0</v>
      </c>
      <c r="O525" s="446">
        <v>0</v>
      </c>
      <c r="P525" s="446">
        <v>0</v>
      </c>
      <c r="Q525" s="446">
        <v>0</v>
      </c>
      <c r="R525" s="446">
        <v>0</v>
      </c>
      <c r="S525" s="446">
        <v>0</v>
      </c>
      <c r="T525" s="447">
        <v>0</v>
      </c>
      <c r="U525" s="446">
        <v>0</v>
      </c>
      <c r="V525" s="446"/>
    </row>
    <row r="526" spans="1:22" ht="25.5" customHeight="1">
      <c r="A526" s="445">
        <v>46291</v>
      </c>
      <c r="B526" s="446" t="s">
        <v>19</v>
      </c>
      <c r="C526" s="446" t="s">
        <v>88</v>
      </c>
      <c r="D526" s="446">
        <v>0</v>
      </c>
      <c r="E526" s="446">
        <v>0</v>
      </c>
      <c r="F526" s="446">
        <v>0</v>
      </c>
      <c r="G526" s="446">
        <v>0</v>
      </c>
      <c r="H526" s="446">
        <v>0</v>
      </c>
      <c r="I526" s="446">
        <v>0</v>
      </c>
      <c r="J526" s="446">
        <v>0</v>
      </c>
      <c r="K526" s="446">
        <v>0</v>
      </c>
      <c r="L526" s="446">
        <v>0</v>
      </c>
      <c r="M526" s="446">
        <v>0</v>
      </c>
      <c r="N526" s="446">
        <v>0</v>
      </c>
      <c r="O526" s="446">
        <v>0</v>
      </c>
      <c r="P526" s="446">
        <v>0</v>
      </c>
      <c r="Q526" s="446">
        <v>0</v>
      </c>
      <c r="R526" s="446">
        <v>0</v>
      </c>
      <c r="S526" s="446">
        <v>0</v>
      </c>
      <c r="T526" s="447">
        <v>0</v>
      </c>
      <c r="U526" s="446">
        <v>0</v>
      </c>
      <c r="V526" s="446"/>
    </row>
    <row r="527" spans="1:22" ht="25.5" customHeight="1">
      <c r="A527" s="445">
        <v>46291</v>
      </c>
      <c r="B527" s="446" t="s">
        <v>19</v>
      </c>
      <c r="C527" s="446" t="s">
        <v>107</v>
      </c>
      <c r="D527" s="446">
        <v>0</v>
      </c>
      <c r="E527" s="446">
        <v>0</v>
      </c>
      <c r="F527" s="446">
        <v>0</v>
      </c>
      <c r="G527" s="446">
        <v>0</v>
      </c>
      <c r="H527" s="446">
        <v>0</v>
      </c>
      <c r="I527" s="446">
        <v>0</v>
      </c>
      <c r="J527" s="446">
        <v>0</v>
      </c>
      <c r="K527" s="446">
        <v>0</v>
      </c>
      <c r="L527" s="446">
        <v>0</v>
      </c>
      <c r="M527" s="446">
        <v>0</v>
      </c>
      <c r="N527" s="446">
        <v>0</v>
      </c>
      <c r="O527" s="446">
        <v>0</v>
      </c>
      <c r="P527" s="446">
        <v>0</v>
      </c>
      <c r="Q527" s="446">
        <v>0</v>
      </c>
      <c r="R527" s="446">
        <v>0</v>
      </c>
      <c r="S527" s="446">
        <v>0</v>
      </c>
      <c r="T527" s="447">
        <v>0</v>
      </c>
      <c r="U527" s="446">
        <v>0</v>
      </c>
      <c r="V527" s="446"/>
    </row>
    <row r="528" spans="1:22" ht="25.5" customHeight="1">
      <c r="A528" s="445">
        <v>46291</v>
      </c>
      <c r="B528" s="446" t="s">
        <v>20</v>
      </c>
      <c r="C528" s="446" t="s">
        <v>93</v>
      </c>
      <c r="D528" s="446">
        <v>0</v>
      </c>
      <c r="E528" s="446">
        <v>0</v>
      </c>
      <c r="F528" s="446">
        <v>0</v>
      </c>
      <c r="G528" s="446">
        <v>0</v>
      </c>
      <c r="H528" s="446">
        <v>0</v>
      </c>
      <c r="I528" s="446">
        <v>0</v>
      </c>
      <c r="J528" s="446">
        <v>0</v>
      </c>
      <c r="K528" s="446">
        <v>0</v>
      </c>
      <c r="L528" s="446">
        <v>0</v>
      </c>
      <c r="M528" s="446">
        <v>0</v>
      </c>
      <c r="N528" s="446">
        <v>0</v>
      </c>
      <c r="O528" s="446">
        <v>0</v>
      </c>
      <c r="P528" s="446">
        <v>0</v>
      </c>
      <c r="Q528" s="446">
        <v>0</v>
      </c>
      <c r="R528" s="446">
        <v>0</v>
      </c>
      <c r="S528" s="446">
        <v>0</v>
      </c>
      <c r="T528" s="447">
        <v>0</v>
      </c>
      <c r="U528" s="446">
        <v>0</v>
      </c>
      <c r="V528" s="446"/>
    </row>
    <row r="529" spans="1:22" ht="25.5" customHeight="1">
      <c r="A529" s="445">
        <v>46291</v>
      </c>
      <c r="B529" s="446" t="s">
        <v>20</v>
      </c>
      <c r="C529" s="446" t="s">
        <v>105</v>
      </c>
      <c r="D529" s="446">
        <v>0</v>
      </c>
      <c r="E529" s="446">
        <v>0</v>
      </c>
      <c r="F529" s="446">
        <v>0</v>
      </c>
      <c r="G529" s="446">
        <v>0</v>
      </c>
      <c r="H529" s="446">
        <v>0</v>
      </c>
      <c r="I529" s="446">
        <v>0</v>
      </c>
      <c r="J529" s="446">
        <v>0</v>
      </c>
      <c r="K529" s="446">
        <v>0</v>
      </c>
      <c r="L529" s="446">
        <v>0</v>
      </c>
      <c r="M529" s="446">
        <v>0</v>
      </c>
      <c r="N529" s="446">
        <v>0</v>
      </c>
      <c r="O529" s="446">
        <v>0</v>
      </c>
      <c r="P529" s="446">
        <v>0</v>
      </c>
      <c r="Q529" s="446">
        <v>0</v>
      </c>
      <c r="R529" s="446">
        <v>0</v>
      </c>
      <c r="S529" s="446">
        <v>0</v>
      </c>
      <c r="T529" s="447">
        <v>0</v>
      </c>
      <c r="U529" s="446">
        <v>0</v>
      </c>
      <c r="V529" s="446"/>
    </row>
    <row r="530" spans="1:22" ht="25.5" customHeight="1">
      <c r="A530" s="445">
        <v>46291</v>
      </c>
      <c r="B530" s="446" t="s">
        <v>20</v>
      </c>
      <c r="C530" s="446" t="s">
        <v>102</v>
      </c>
      <c r="D530" s="446">
        <v>0</v>
      </c>
      <c r="E530" s="446">
        <v>0</v>
      </c>
      <c r="F530" s="446">
        <v>0</v>
      </c>
      <c r="G530" s="446">
        <v>0</v>
      </c>
      <c r="H530" s="446">
        <v>0</v>
      </c>
      <c r="I530" s="446">
        <v>0</v>
      </c>
      <c r="J530" s="446">
        <v>0</v>
      </c>
      <c r="K530" s="446">
        <v>0</v>
      </c>
      <c r="L530" s="446">
        <v>0</v>
      </c>
      <c r="M530" s="446">
        <v>0</v>
      </c>
      <c r="N530" s="446">
        <v>0</v>
      </c>
      <c r="O530" s="446">
        <v>0</v>
      </c>
      <c r="P530" s="446">
        <v>0</v>
      </c>
      <c r="Q530" s="446">
        <v>0</v>
      </c>
      <c r="R530" s="446">
        <v>0</v>
      </c>
      <c r="S530" s="446">
        <v>0</v>
      </c>
      <c r="T530" s="447">
        <v>0</v>
      </c>
      <c r="U530" s="446">
        <v>0</v>
      </c>
      <c r="V530" s="446"/>
    </row>
    <row r="531" spans="1:22" ht="25.5" customHeight="1">
      <c r="A531" s="445">
        <v>46291</v>
      </c>
      <c r="B531" s="446" t="s">
        <v>20</v>
      </c>
      <c r="C531" s="446" t="s">
        <v>111</v>
      </c>
      <c r="D531" s="446">
        <v>0</v>
      </c>
      <c r="E531" s="446">
        <v>0</v>
      </c>
      <c r="F531" s="446">
        <v>0</v>
      </c>
      <c r="G531" s="446">
        <v>0</v>
      </c>
      <c r="H531" s="446">
        <v>0</v>
      </c>
      <c r="I531" s="446">
        <v>0</v>
      </c>
      <c r="J531" s="446">
        <v>0</v>
      </c>
      <c r="K531" s="446">
        <v>0</v>
      </c>
      <c r="L531" s="446">
        <v>0</v>
      </c>
      <c r="M531" s="446">
        <v>0</v>
      </c>
      <c r="N531" s="446">
        <v>0</v>
      </c>
      <c r="O531" s="446">
        <v>0</v>
      </c>
      <c r="P531" s="446">
        <v>0</v>
      </c>
      <c r="Q531" s="446">
        <v>0</v>
      </c>
      <c r="R531" s="446">
        <v>0</v>
      </c>
      <c r="S531" s="446">
        <v>0</v>
      </c>
      <c r="T531" s="447">
        <v>0</v>
      </c>
      <c r="U531" s="446">
        <v>0</v>
      </c>
      <c r="V531" s="446"/>
    </row>
    <row r="532" spans="1:22" ht="25.5" customHeight="1">
      <c r="A532" s="445">
        <v>46291</v>
      </c>
      <c r="B532" s="446" t="s">
        <v>21</v>
      </c>
      <c r="C532" s="446" t="s">
        <v>90</v>
      </c>
      <c r="D532" s="446">
        <v>0</v>
      </c>
      <c r="E532" s="446">
        <v>0</v>
      </c>
      <c r="F532" s="446">
        <v>0</v>
      </c>
      <c r="G532" s="446">
        <v>0</v>
      </c>
      <c r="H532" s="446">
        <v>0</v>
      </c>
      <c r="I532" s="446">
        <v>0</v>
      </c>
      <c r="J532" s="446">
        <v>0</v>
      </c>
      <c r="K532" s="446">
        <v>0</v>
      </c>
      <c r="L532" s="446">
        <v>0</v>
      </c>
      <c r="M532" s="446">
        <v>0</v>
      </c>
      <c r="N532" s="446">
        <v>0</v>
      </c>
      <c r="O532" s="446">
        <v>0</v>
      </c>
      <c r="P532" s="446">
        <v>0</v>
      </c>
      <c r="Q532" s="446">
        <v>0</v>
      </c>
      <c r="R532" s="446">
        <v>0</v>
      </c>
      <c r="S532" s="446">
        <v>0</v>
      </c>
      <c r="T532" s="447">
        <v>0</v>
      </c>
      <c r="U532" s="446">
        <v>0</v>
      </c>
      <c r="V532" s="446"/>
    </row>
    <row r="533" spans="1:22" ht="25.5" customHeight="1">
      <c r="A533" s="445">
        <v>46291</v>
      </c>
      <c r="B533" s="446" t="s">
        <v>21</v>
      </c>
      <c r="C533" s="446" t="s">
        <v>109</v>
      </c>
      <c r="D533" s="446">
        <v>0</v>
      </c>
      <c r="E533" s="446">
        <v>0</v>
      </c>
      <c r="F533" s="446">
        <v>0</v>
      </c>
      <c r="G533" s="446">
        <v>0</v>
      </c>
      <c r="H533" s="446">
        <v>0</v>
      </c>
      <c r="I533" s="446">
        <v>0</v>
      </c>
      <c r="J533" s="446">
        <v>0</v>
      </c>
      <c r="K533" s="446">
        <v>0</v>
      </c>
      <c r="L533" s="446">
        <v>0</v>
      </c>
      <c r="M533" s="446">
        <v>0</v>
      </c>
      <c r="N533" s="446">
        <v>0</v>
      </c>
      <c r="O533" s="446">
        <v>0</v>
      </c>
      <c r="P533" s="446">
        <v>0</v>
      </c>
      <c r="Q533" s="446">
        <v>0</v>
      </c>
      <c r="R533" s="446">
        <v>0</v>
      </c>
      <c r="S533" s="446">
        <v>0</v>
      </c>
      <c r="T533" s="447">
        <v>0</v>
      </c>
      <c r="U533" s="446">
        <v>0</v>
      </c>
      <c r="V533" s="446"/>
    </row>
    <row r="534" spans="1:22" ht="25.5" customHeight="1">
      <c r="A534" s="445">
        <v>46291</v>
      </c>
      <c r="B534" s="446" t="s">
        <v>21</v>
      </c>
      <c r="C534" s="446" t="s">
        <v>103</v>
      </c>
      <c r="D534" s="446">
        <v>0</v>
      </c>
      <c r="E534" s="446">
        <v>0</v>
      </c>
      <c r="F534" s="446">
        <v>0</v>
      </c>
      <c r="G534" s="446">
        <v>0</v>
      </c>
      <c r="H534" s="446">
        <v>0</v>
      </c>
      <c r="I534" s="446">
        <v>0</v>
      </c>
      <c r="J534" s="446">
        <v>0</v>
      </c>
      <c r="K534" s="446">
        <v>0</v>
      </c>
      <c r="L534" s="446">
        <v>0</v>
      </c>
      <c r="M534" s="446">
        <v>0</v>
      </c>
      <c r="N534" s="446">
        <v>0</v>
      </c>
      <c r="O534" s="446">
        <v>0</v>
      </c>
      <c r="P534" s="446">
        <v>0</v>
      </c>
      <c r="Q534" s="446">
        <v>0</v>
      </c>
      <c r="R534" s="446">
        <v>0</v>
      </c>
      <c r="S534" s="446">
        <v>0</v>
      </c>
      <c r="T534" s="447">
        <v>0</v>
      </c>
      <c r="U534" s="446">
        <v>0</v>
      </c>
      <c r="V534" s="446"/>
    </row>
    <row r="535" spans="1:22" ht="25.5" customHeight="1">
      <c r="A535" s="445">
        <v>46291</v>
      </c>
      <c r="B535" s="446" t="s">
        <v>21</v>
      </c>
      <c r="C535" s="446" t="s">
        <v>112</v>
      </c>
      <c r="D535" s="446">
        <v>0</v>
      </c>
      <c r="E535" s="446">
        <v>0</v>
      </c>
      <c r="F535" s="446">
        <v>0</v>
      </c>
      <c r="G535" s="446">
        <v>0</v>
      </c>
      <c r="H535" s="446">
        <v>0</v>
      </c>
      <c r="I535" s="446">
        <v>0</v>
      </c>
      <c r="J535" s="446">
        <v>0</v>
      </c>
      <c r="K535" s="446">
        <v>0</v>
      </c>
      <c r="L535" s="446">
        <v>0</v>
      </c>
      <c r="M535" s="446">
        <v>0</v>
      </c>
      <c r="N535" s="446">
        <v>0</v>
      </c>
      <c r="O535" s="446">
        <v>0</v>
      </c>
      <c r="P535" s="446">
        <v>0</v>
      </c>
      <c r="Q535" s="446">
        <v>0</v>
      </c>
      <c r="R535" s="446">
        <v>0</v>
      </c>
      <c r="S535" s="446">
        <v>0</v>
      </c>
      <c r="T535" s="447">
        <v>0</v>
      </c>
      <c r="U535" s="446">
        <v>0</v>
      </c>
      <c r="V535" s="446"/>
    </row>
    <row r="536" spans="1:22" ht="25.5" customHeight="1">
      <c r="A536" s="445">
        <v>46292</v>
      </c>
      <c r="B536" s="446" t="s">
        <v>17</v>
      </c>
      <c r="C536" s="446" t="s">
        <v>96</v>
      </c>
      <c r="D536" s="446">
        <v>0</v>
      </c>
      <c r="E536" s="446">
        <v>0</v>
      </c>
      <c r="F536" s="446">
        <v>0</v>
      </c>
      <c r="G536" s="446">
        <v>0</v>
      </c>
      <c r="H536" s="446">
        <v>0</v>
      </c>
      <c r="I536" s="446">
        <v>0</v>
      </c>
      <c r="J536" s="446">
        <v>0</v>
      </c>
      <c r="K536" s="446">
        <v>0</v>
      </c>
      <c r="L536" s="446">
        <v>0</v>
      </c>
      <c r="M536" s="446">
        <v>0</v>
      </c>
      <c r="N536" s="446">
        <v>0</v>
      </c>
      <c r="O536" s="446">
        <v>0</v>
      </c>
      <c r="P536" s="446">
        <v>0</v>
      </c>
      <c r="Q536" s="446">
        <v>0</v>
      </c>
      <c r="R536" s="446">
        <v>0</v>
      </c>
      <c r="S536" s="446">
        <v>0</v>
      </c>
      <c r="T536" s="447">
        <v>0</v>
      </c>
      <c r="U536" s="446">
        <v>0</v>
      </c>
      <c r="V536" s="446"/>
    </row>
    <row r="537" spans="1:22" ht="25.5" customHeight="1">
      <c r="A537" s="445">
        <v>46292</v>
      </c>
      <c r="B537" s="446" t="s">
        <v>17</v>
      </c>
      <c r="C537" s="446" t="s">
        <v>108</v>
      </c>
      <c r="D537" s="446">
        <v>0</v>
      </c>
      <c r="E537" s="446">
        <v>0</v>
      </c>
      <c r="F537" s="446">
        <v>0</v>
      </c>
      <c r="G537" s="446">
        <v>0</v>
      </c>
      <c r="H537" s="446">
        <v>0</v>
      </c>
      <c r="I537" s="446">
        <v>0</v>
      </c>
      <c r="J537" s="446">
        <v>0</v>
      </c>
      <c r="K537" s="446">
        <v>0</v>
      </c>
      <c r="L537" s="446">
        <v>0</v>
      </c>
      <c r="M537" s="446">
        <v>0</v>
      </c>
      <c r="N537" s="446">
        <v>0</v>
      </c>
      <c r="O537" s="446">
        <v>0</v>
      </c>
      <c r="P537" s="446">
        <v>0</v>
      </c>
      <c r="Q537" s="446">
        <v>0</v>
      </c>
      <c r="R537" s="446">
        <v>0</v>
      </c>
      <c r="S537" s="446">
        <v>0</v>
      </c>
      <c r="T537" s="447">
        <v>0</v>
      </c>
      <c r="U537" s="446">
        <v>0</v>
      </c>
      <c r="V537" s="446"/>
    </row>
    <row r="538" spans="1:22" ht="25.5" customHeight="1">
      <c r="A538" s="445">
        <v>46292</v>
      </c>
      <c r="B538" s="446" t="s">
        <v>17</v>
      </c>
      <c r="C538" s="446" t="s">
        <v>101</v>
      </c>
      <c r="D538" s="446">
        <v>0</v>
      </c>
      <c r="E538" s="446">
        <v>0</v>
      </c>
      <c r="F538" s="446">
        <v>0</v>
      </c>
      <c r="G538" s="446">
        <v>0</v>
      </c>
      <c r="H538" s="446">
        <v>0</v>
      </c>
      <c r="I538" s="446">
        <v>0</v>
      </c>
      <c r="J538" s="446">
        <v>0</v>
      </c>
      <c r="K538" s="446">
        <v>0</v>
      </c>
      <c r="L538" s="446">
        <v>0</v>
      </c>
      <c r="M538" s="446">
        <v>0</v>
      </c>
      <c r="N538" s="446">
        <v>0</v>
      </c>
      <c r="O538" s="446">
        <v>0</v>
      </c>
      <c r="P538" s="446">
        <v>0</v>
      </c>
      <c r="Q538" s="446">
        <v>0</v>
      </c>
      <c r="R538" s="446">
        <v>0</v>
      </c>
      <c r="S538" s="446">
        <v>0</v>
      </c>
      <c r="T538" s="447">
        <v>0</v>
      </c>
      <c r="U538" s="446">
        <v>0</v>
      </c>
      <c r="V538" s="446"/>
    </row>
    <row r="539" spans="1:22" ht="25.5" customHeight="1">
      <c r="A539" s="445">
        <v>46292</v>
      </c>
      <c r="B539" s="446" t="s">
        <v>17</v>
      </c>
      <c r="C539" s="446" t="s">
        <v>106</v>
      </c>
      <c r="D539" s="446">
        <v>0</v>
      </c>
      <c r="E539" s="446">
        <v>0</v>
      </c>
      <c r="F539" s="446">
        <v>0</v>
      </c>
      <c r="G539" s="446">
        <v>0</v>
      </c>
      <c r="H539" s="446">
        <v>0</v>
      </c>
      <c r="I539" s="446">
        <v>0</v>
      </c>
      <c r="J539" s="446">
        <v>0</v>
      </c>
      <c r="K539" s="446">
        <v>0</v>
      </c>
      <c r="L539" s="446">
        <v>0</v>
      </c>
      <c r="M539" s="446">
        <v>0</v>
      </c>
      <c r="N539" s="446">
        <v>0</v>
      </c>
      <c r="O539" s="446">
        <v>0</v>
      </c>
      <c r="P539" s="446">
        <v>0</v>
      </c>
      <c r="Q539" s="446">
        <v>0</v>
      </c>
      <c r="R539" s="446">
        <v>0</v>
      </c>
      <c r="S539" s="446">
        <v>0</v>
      </c>
      <c r="T539" s="447">
        <v>0</v>
      </c>
      <c r="U539" s="446">
        <v>0</v>
      </c>
      <c r="V539" s="446"/>
    </row>
    <row r="540" spans="1:22" ht="25.5" customHeight="1">
      <c r="A540" s="445">
        <v>46292</v>
      </c>
      <c r="B540" s="446" t="s">
        <v>22</v>
      </c>
      <c r="C540" s="446" t="s">
        <v>23</v>
      </c>
      <c r="D540" s="446">
        <v>0</v>
      </c>
      <c r="E540" s="446">
        <v>0</v>
      </c>
      <c r="F540" s="446">
        <v>0</v>
      </c>
      <c r="G540" s="446">
        <v>0</v>
      </c>
      <c r="H540" s="446">
        <v>0</v>
      </c>
      <c r="I540" s="446">
        <v>0</v>
      </c>
      <c r="J540" s="446">
        <v>0</v>
      </c>
      <c r="K540" s="446">
        <v>0</v>
      </c>
      <c r="L540" s="446">
        <v>0</v>
      </c>
      <c r="M540" s="446">
        <v>0</v>
      </c>
      <c r="N540" s="446">
        <v>0</v>
      </c>
      <c r="O540" s="446">
        <v>0</v>
      </c>
      <c r="P540" s="446">
        <v>0</v>
      </c>
      <c r="Q540" s="446">
        <v>0</v>
      </c>
      <c r="R540" s="446">
        <v>0</v>
      </c>
      <c r="S540" s="446">
        <v>0</v>
      </c>
      <c r="T540" s="447">
        <v>0</v>
      </c>
      <c r="U540" s="446">
        <v>0</v>
      </c>
      <c r="V540" s="446"/>
    </row>
    <row r="541" spans="1:22" ht="25.5" customHeight="1">
      <c r="A541" s="445">
        <v>46292</v>
      </c>
      <c r="B541" s="446" t="s">
        <v>18</v>
      </c>
      <c r="C541" s="446" t="s">
        <v>97</v>
      </c>
      <c r="D541" s="446">
        <v>0</v>
      </c>
      <c r="E541" s="446">
        <v>0</v>
      </c>
      <c r="F541" s="446">
        <v>0</v>
      </c>
      <c r="G541" s="446">
        <v>0</v>
      </c>
      <c r="H541" s="446">
        <v>0</v>
      </c>
      <c r="I541" s="446">
        <v>0</v>
      </c>
      <c r="J541" s="446">
        <v>0</v>
      </c>
      <c r="K541" s="446">
        <v>0</v>
      </c>
      <c r="L541" s="446">
        <v>0</v>
      </c>
      <c r="M541" s="446">
        <v>0</v>
      </c>
      <c r="N541" s="446">
        <v>0</v>
      </c>
      <c r="O541" s="446">
        <v>0</v>
      </c>
      <c r="P541" s="446">
        <v>0</v>
      </c>
      <c r="Q541" s="446">
        <v>0</v>
      </c>
      <c r="R541" s="446">
        <v>0</v>
      </c>
      <c r="S541" s="446">
        <v>0</v>
      </c>
      <c r="T541" s="447">
        <v>0</v>
      </c>
      <c r="U541" s="446">
        <v>0</v>
      </c>
      <c r="V541" s="446"/>
    </row>
    <row r="542" spans="1:22" ht="25.5" customHeight="1">
      <c r="A542" s="445">
        <v>46292</v>
      </c>
      <c r="B542" s="446" t="s">
        <v>18</v>
      </c>
      <c r="C542" s="446" t="s">
        <v>98</v>
      </c>
      <c r="D542" s="446">
        <v>0</v>
      </c>
      <c r="E542" s="446">
        <v>0</v>
      </c>
      <c r="F542" s="446">
        <v>0</v>
      </c>
      <c r="G542" s="446">
        <v>0</v>
      </c>
      <c r="H542" s="446">
        <v>0</v>
      </c>
      <c r="I542" s="446">
        <v>0</v>
      </c>
      <c r="J542" s="446">
        <v>0</v>
      </c>
      <c r="K542" s="446">
        <v>0</v>
      </c>
      <c r="L542" s="446">
        <v>0</v>
      </c>
      <c r="M542" s="446">
        <v>0</v>
      </c>
      <c r="N542" s="446">
        <v>0</v>
      </c>
      <c r="O542" s="446">
        <v>0</v>
      </c>
      <c r="P542" s="446">
        <v>0</v>
      </c>
      <c r="Q542" s="446">
        <v>0</v>
      </c>
      <c r="R542" s="446">
        <v>0</v>
      </c>
      <c r="S542" s="446">
        <v>0</v>
      </c>
      <c r="T542" s="447">
        <v>0</v>
      </c>
      <c r="U542" s="446">
        <v>0</v>
      </c>
      <c r="V542" s="446"/>
    </row>
    <row r="543" spans="1:22" ht="25.5" customHeight="1">
      <c r="A543" s="445">
        <v>46292</v>
      </c>
      <c r="B543" s="446" t="s">
        <v>18</v>
      </c>
      <c r="C543" s="446" t="s">
        <v>110</v>
      </c>
      <c r="D543" s="446">
        <v>0</v>
      </c>
      <c r="E543" s="446">
        <v>0</v>
      </c>
      <c r="F543" s="446">
        <v>0</v>
      </c>
      <c r="G543" s="446">
        <v>0</v>
      </c>
      <c r="H543" s="446">
        <v>0</v>
      </c>
      <c r="I543" s="446">
        <v>0</v>
      </c>
      <c r="J543" s="446">
        <v>0</v>
      </c>
      <c r="K543" s="446">
        <v>0</v>
      </c>
      <c r="L543" s="446">
        <v>0</v>
      </c>
      <c r="M543" s="446">
        <v>0</v>
      </c>
      <c r="N543" s="446">
        <v>0</v>
      </c>
      <c r="O543" s="446">
        <v>0</v>
      </c>
      <c r="P543" s="446">
        <v>0</v>
      </c>
      <c r="Q543" s="446">
        <v>0</v>
      </c>
      <c r="R543" s="446">
        <v>0</v>
      </c>
      <c r="S543" s="446">
        <v>0</v>
      </c>
      <c r="T543" s="447">
        <v>0</v>
      </c>
      <c r="U543" s="446">
        <v>0</v>
      </c>
      <c r="V543" s="446"/>
    </row>
    <row r="544" spans="1:22" ht="25.5" customHeight="1">
      <c r="A544" s="445">
        <v>46292</v>
      </c>
      <c r="B544" s="446" t="s">
        <v>19</v>
      </c>
      <c r="C544" s="446" t="s">
        <v>99</v>
      </c>
      <c r="D544" s="446">
        <v>0</v>
      </c>
      <c r="E544" s="446">
        <v>0</v>
      </c>
      <c r="F544" s="446">
        <v>0</v>
      </c>
      <c r="G544" s="446">
        <v>0</v>
      </c>
      <c r="H544" s="446">
        <v>0</v>
      </c>
      <c r="I544" s="446">
        <v>0</v>
      </c>
      <c r="J544" s="446">
        <v>0</v>
      </c>
      <c r="K544" s="446">
        <v>0</v>
      </c>
      <c r="L544" s="446">
        <v>0</v>
      </c>
      <c r="M544" s="446">
        <v>0</v>
      </c>
      <c r="N544" s="446">
        <v>0</v>
      </c>
      <c r="O544" s="446">
        <v>0</v>
      </c>
      <c r="P544" s="446">
        <v>0</v>
      </c>
      <c r="Q544" s="446">
        <v>0</v>
      </c>
      <c r="R544" s="446">
        <v>0</v>
      </c>
      <c r="S544" s="446">
        <v>0</v>
      </c>
      <c r="T544" s="447">
        <v>0</v>
      </c>
      <c r="U544" s="446">
        <v>0</v>
      </c>
      <c r="V544" s="446"/>
    </row>
    <row r="545" spans="1:22" ht="25.5" customHeight="1">
      <c r="A545" s="445">
        <v>46292</v>
      </c>
      <c r="B545" s="446" t="s">
        <v>19</v>
      </c>
      <c r="C545" s="446" t="s">
        <v>88</v>
      </c>
      <c r="D545" s="446">
        <v>0</v>
      </c>
      <c r="E545" s="446">
        <v>0</v>
      </c>
      <c r="F545" s="446">
        <v>0</v>
      </c>
      <c r="G545" s="446">
        <v>0</v>
      </c>
      <c r="H545" s="446">
        <v>0</v>
      </c>
      <c r="I545" s="446">
        <v>0</v>
      </c>
      <c r="J545" s="446">
        <v>0</v>
      </c>
      <c r="K545" s="446">
        <v>0</v>
      </c>
      <c r="L545" s="446">
        <v>0</v>
      </c>
      <c r="M545" s="446">
        <v>0</v>
      </c>
      <c r="N545" s="446">
        <v>0</v>
      </c>
      <c r="O545" s="446">
        <v>0</v>
      </c>
      <c r="P545" s="446">
        <v>0</v>
      </c>
      <c r="Q545" s="446">
        <v>0</v>
      </c>
      <c r="R545" s="446">
        <v>0</v>
      </c>
      <c r="S545" s="446">
        <v>0</v>
      </c>
      <c r="T545" s="447">
        <v>0</v>
      </c>
      <c r="U545" s="446">
        <v>0</v>
      </c>
      <c r="V545" s="446"/>
    </row>
    <row r="546" spans="1:22" ht="25.5" customHeight="1">
      <c r="A546" s="445">
        <v>46292</v>
      </c>
      <c r="B546" s="446" t="s">
        <v>19</v>
      </c>
      <c r="C546" s="446" t="s">
        <v>107</v>
      </c>
      <c r="D546" s="446">
        <v>0</v>
      </c>
      <c r="E546" s="446">
        <v>0</v>
      </c>
      <c r="F546" s="446">
        <v>0</v>
      </c>
      <c r="G546" s="446">
        <v>0</v>
      </c>
      <c r="H546" s="446">
        <v>0</v>
      </c>
      <c r="I546" s="446">
        <v>0</v>
      </c>
      <c r="J546" s="446">
        <v>0</v>
      </c>
      <c r="K546" s="446">
        <v>0</v>
      </c>
      <c r="L546" s="446">
        <v>0</v>
      </c>
      <c r="M546" s="446">
        <v>0</v>
      </c>
      <c r="N546" s="446">
        <v>0</v>
      </c>
      <c r="O546" s="446">
        <v>0</v>
      </c>
      <c r="P546" s="446">
        <v>0</v>
      </c>
      <c r="Q546" s="446">
        <v>0</v>
      </c>
      <c r="R546" s="446">
        <v>0</v>
      </c>
      <c r="S546" s="446">
        <v>0</v>
      </c>
      <c r="T546" s="447">
        <v>0</v>
      </c>
      <c r="U546" s="446">
        <v>0</v>
      </c>
      <c r="V546" s="446"/>
    </row>
    <row r="547" spans="1:22" ht="25.5" customHeight="1">
      <c r="A547" s="445">
        <v>46292</v>
      </c>
      <c r="B547" s="446" t="s">
        <v>20</v>
      </c>
      <c r="C547" s="446" t="s">
        <v>93</v>
      </c>
      <c r="D547" s="446">
        <v>0</v>
      </c>
      <c r="E547" s="446">
        <v>0</v>
      </c>
      <c r="F547" s="446">
        <v>0</v>
      </c>
      <c r="G547" s="446">
        <v>0</v>
      </c>
      <c r="H547" s="446">
        <v>0</v>
      </c>
      <c r="I547" s="446">
        <v>0</v>
      </c>
      <c r="J547" s="446">
        <v>0</v>
      </c>
      <c r="K547" s="446">
        <v>0</v>
      </c>
      <c r="L547" s="446">
        <v>0</v>
      </c>
      <c r="M547" s="446">
        <v>0</v>
      </c>
      <c r="N547" s="446">
        <v>0</v>
      </c>
      <c r="O547" s="446">
        <v>0</v>
      </c>
      <c r="P547" s="446">
        <v>0</v>
      </c>
      <c r="Q547" s="446">
        <v>0</v>
      </c>
      <c r="R547" s="446">
        <v>0</v>
      </c>
      <c r="S547" s="446">
        <v>0</v>
      </c>
      <c r="T547" s="447">
        <v>0</v>
      </c>
      <c r="U547" s="446">
        <v>0</v>
      </c>
      <c r="V547" s="446"/>
    </row>
    <row r="548" spans="1:22" ht="25.5" customHeight="1">
      <c r="A548" s="445">
        <v>46292</v>
      </c>
      <c r="B548" s="446" t="s">
        <v>20</v>
      </c>
      <c r="C548" s="446" t="s">
        <v>105</v>
      </c>
      <c r="D548" s="446">
        <v>0</v>
      </c>
      <c r="E548" s="446">
        <v>0</v>
      </c>
      <c r="F548" s="446">
        <v>0</v>
      </c>
      <c r="G548" s="446">
        <v>0</v>
      </c>
      <c r="H548" s="446">
        <v>0</v>
      </c>
      <c r="I548" s="446">
        <v>0</v>
      </c>
      <c r="J548" s="446">
        <v>0</v>
      </c>
      <c r="K548" s="446">
        <v>0</v>
      </c>
      <c r="L548" s="446">
        <v>0</v>
      </c>
      <c r="M548" s="446">
        <v>0</v>
      </c>
      <c r="N548" s="446">
        <v>0</v>
      </c>
      <c r="O548" s="446">
        <v>0</v>
      </c>
      <c r="P548" s="446">
        <v>0</v>
      </c>
      <c r="Q548" s="446">
        <v>0</v>
      </c>
      <c r="R548" s="446">
        <v>0</v>
      </c>
      <c r="S548" s="446">
        <v>0</v>
      </c>
      <c r="T548" s="447">
        <v>0</v>
      </c>
      <c r="U548" s="446">
        <v>0</v>
      </c>
      <c r="V548" s="446"/>
    </row>
    <row r="549" spans="1:22" ht="25.5" customHeight="1">
      <c r="A549" s="445">
        <v>46292</v>
      </c>
      <c r="B549" s="446" t="s">
        <v>20</v>
      </c>
      <c r="C549" s="446" t="s">
        <v>102</v>
      </c>
      <c r="D549" s="446">
        <v>0</v>
      </c>
      <c r="E549" s="446">
        <v>0</v>
      </c>
      <c r="F549" s="446">
        <v>0</v>
      </c>
      <c r="G549" s="446">
        <v>0</v>
      </c>
      <c r="H549" s="446">
        <v>0</v>
      </c>
      <c r="I549" s="446">
        <v>0</v>
      </c>
      <c r="J549" s="446">
        <v>0</v>
      </c>
      <c r="K549" s="446">
        <v>0</v>
      </c>
      <c r="L549" s="446">
        <v>0</v>
      </c>
      <c r="M549" s="446">
        <v>0</v>
      </c>
      <c r="N549" s="446">
        <v>0</v>
      </c>
      <c r="O549" s="446">
        <v>0</v>
      </c>
      <c r="P549" s="446">
        <v>0</v>
      </c>
      <c r="Q549" s="446">
        <v>0</v>
      </c>
      <c r="R549" s="446">
        <v>0</v>
      </c>
      <c r="S549" s="446">
        <v>0</v>
      </c>
      <c r="T549" s="447">
        <v>0</v>
      </c>
      <c r="U549" s="446">
        <v>0</v>
      </c>
      <c r="V549" s="446"/>
    </row>
    <row r="550" spans="1:22" ht="25.5" customHeight="1">
      <c r="A550" s="445">
        <v>46292</v>
      </c>
      <c r="B550" s="446" t="s">
        <v>20</v>
      </c>
      <c r="C550" s="446" t="s">
        <v>111</v>
      </c>
      <c r="D550" s="446">
        <v>0</v>
      </c>
      <c r="E550" s="446">
        <v>0</v>
      </c>
      <c r="F550" s="446">
        <v>0</v>
      </c>
      <c r="G550" s="446">
        <v>0</v>
      </c>
      <c r="H550" s="446">
        <v>0</v>
      </c>
      <c r="I550" s="446">
        <v>0</v>
      </c>
      <c r="J550" s="446">
        <v>0</v>
      </c>
      <c r="K550" s="446">
        <v>0</v>
      </c>
      <c r="L550" s="446">
        <v>0</v>
      </c>
      <c r="M550" s="446">
        <v>0</v>
      </c>
      <c r="N550" s="446">
        <v>0</v>
      </c>
      <c r="O550" s="446">
        <v>0</v>
      </c>
      <c r="P550" s="446">
        <v>0</v>
      </c>
      <c r="Q550" s="446">
        <v>0</v>
      </c>
      <c r="R550" s="446">
        <v>0</v>
      </c>
      <c r="S550" s="446">
        <v>0</v>
      </c>
      <c r="T550" s="447">
        <v>0</v>
      </c>
      <c r="U550" s="446">
        <v>0</v>
      </c>
      <c r="V550" s="446"/>
    </row>
    <row r="551" spans="1:22" ht="25.5" customHeight="1">
      <c r="A551" s="445">
        <v>46292</v>
      </c>
      <c r="B551" s="446" t="s">
        <v>21</v>
      </c>
      <c r="C551" s="446" t="s">
        <v>90</v>
      </c>
      <c r="D551" s="446">
        <v>0</v>
      </c>
      <c r="E551" s="446">
        <v>0</v>
      </c>
      <c r="F551" s="446">
        <v>0</v>
      </c>
      <c r="G551" s="446">
        <v>0</v>
      </c>
      <c r="H551" s="446">
        <v>0</v>
      </c>
      <c r="I551" s="446">
        <v>0</v>
      </c>
      <c r="J551" s="446">
        <v>0</v>
      </c>
      <c r="K551" s="446">
        <v>0</v>
      </c>
      <c r="L551" s="446">
        <v>0</v>
      </c>
      <c r="M551" s="446">
        <v>0</v>
      </c>
      <c r="N551" s="446">
        <v>0</v>
      </c>
      <c r="O551" s="446">
        <v>0</v>
      </c>
      <c r="P551" s="446">
        <v>0</v>
      </c>
      <c r="Q551" s="446">
        <v>0</v>
      </c>
      <c r="R551" s="446">
        <v>0</v>
      </c>
      <c r="S551" s="446">
        <v>0</v>
      </c>
      <c r="T551" s="447">
        <v>0</v>
      </c>
      <c r="U551" s="446">
        <v>0</v>
      </c>
      <c r="V551" s="446"/>
    </row>
    <row r="552" spans="1:22" ht="25.5" customHeight="1">
      <c r="A552" s="445">
        <v>46292</v>
      </c>
      <c r="B552" s="446" t="s">
        <v>21</v>
      </c>
      <c r="C552" s="446" t="s">
        <v>109</v>
      </c>
      <c r="D552" s="446">
        <v>0</v>
      </c>
      <c r="E552" s="446">
        <v>0</v>
      </c>
      <c r="F552" s="446">
        <v>0</v>
      </c>
      <c r="G552" s="446">
        <v>0</v>
      </c>
      <c r="H552" s="446">
        <v>0</v>
      </c>
      <c r="I552" s="446">
        <v>0</v>
      </c>
      <c r="J552" s="446">
        <v>0</v>
      </c>
      <c r="K552" s="446">
        <v>0</v>
      </c>
      <c r="L552" s="446">
        <v>0</v>
      </c>
      <c r="M552" s="446">
        <v>0</v>
      </c>
      <c r="N552" s="446">
        <v>0</v>
      </c>
      <c r="O552" s="446">
        <v>0</v>
      </c>
      <c r="P552" s="446">
        <v>0</v>
      </c>
      <c r="Q552" s="446">
        <v>0</v>
      </c>
      <c r="R552" s="446">
        <v>0</v>
      </c>
      <c r="S552" s="446">
        <v>0</v>
      </c>
      <c r="T552" s="447">
        <v>0</v>
      </c>
      <c r="U552" s="446">
        <v>0</v>
      </c>
      <c r="V552" s="446"/>
    </row>
    <row r="553" spans="1:22" ht="25.5" customHeight="1">
      <c r="A553" s="445">
        <v>46292</v>
      </c>
      <c r="B553" s="446" t="s">
        <v>21</v>
      </c>
      <c r="C553" s="446" t="s">
        <v>103</v>
      </c>
      <c r="D553" s="446">
        <v>0</v>
      </c>
      <c r="E553" s="446">
        <v>0</v>
      </c>
      <c r="F553" s="446">
        <v>0</v>
      </c>
      <c r="G553" s="446">
        <v>0</v>
      </c>
      <c r="H553" s="446">
        <v>0</v>
      </c>
      <c r="I553" s="446">
        <v>0</v>
      </c>
      <c r="J553" s="446">
        <v>0</v>
      </c>
      <c r="K553" s="446">
        <v>0</v>
      </c>
      <c r="L553" s="446">
        <v>0</v>
      </c>
      <c r="M553" s="446">
        <v>0</v>
      </c>
      <c r="N553" s="446">
        <v>0</v>
      </c>
      <c r="O553" s="446">
        <v>0</v>
      </c>
      <c r="P553" s="446">
        <v>0</v>
      </c>
      <c r="Q553" s="446">
        <v>0</v>
      </c>
      <c r="R553" s="446">
        <v>0</v>
      </c>
      <c r="S553" s="446">
        <v>0</v>
      </c>
      <c r="T553" s="447">
        <v>0</v>
      </c>
      <c r="U553" s="446">
        <v>0</v>
      </c>
      <c r="V553" s="446"/>
    </row>
    <row r="554" spans="1:22" ht="25.5" customHeight="1">
      <c r="A554" s="445">
        <v>46292</v>
      </c>
      <c r="B554" s="446" t="s">
        <v>21</v>
      </c>
      <c r="C554" s="446" t="s">
        <v>112</v>
      </c>
      <c r="D554" s="446">
        <v>0</v>
      </c>
      <c r="E554" s="446">
        <v>0</v>
      </c>
      <c r="F554" s="446">
        <v>0</v>
      </c>
      <c r="G554" s="446">
        <v>0</v>
      </c>
      <c r="H554" s="446">
        <v>0</v>
      </c>
      <c r="I554" s="446">
        <v>0</v>
      </c>
      <c r="J554" s="446">
        <v>0</v>
      </c>
      <c r="K554" s="446">
        <v>0</v>
      </c>
      <c r="L554" s="446">
        <v>0</v>
      </c>
      <c r="M554" s="446">
        <v>0</v>
      </c>
      <c r="N554" s="446">
        <v>0</v>
      </c>
      <c r="O554" s="446">
        <v>0</v>
      </c>
      <c r="P554" s="446">
        <v>0</v>
      </c>
      <c r="Q554" s="446">
        <v>0</v>
      </c>
      <c r="R554" s="446">
        <v>0</v>
      </c>
      <c r="S554" s="446">
        <v>0</v>
      </c>
      <c r="T554" s="447">
        <v>0</v>
      </c>
      <c r="U554" s="446">
        <v>0</v>
      </c>
      <c r="V554" s="446"/>
    </row>
    <row r="555" spans="1:22" ht="25.5" customHeight="1">
      <c r="A555" s="445">
        <v>46293</v>
      </c>
      <c r="B555" s="446" t="s">
        <v>17</v>
      </c>
      <c r="C555" s="446" t="s">
        <v>96</v>
      </c>
      <c r="D555" s="446">
        <v>0</v>
      </c>
      <c r="E555" s="446">
        <v>0</v>
      </c>
      <c r="F555" s="446">
        <v>0</v>
      </c>
      <c r="G555" s="446">
        <v>0</v>
      </c>
      <c r="H555" s="446">
        <v>0</v>
      </c>
      <c r="I555" s="446">
        <v>0</v>
      </c>
      <c r="J555" s="446">
        <v>0</v>
      </c>
      <c r="K555" s="446">
        <v>0</v>
      </c>
      <c r="L555" s="446">
        <v>0</v>
      </c>
      <c r="M555" s="446">
        <v>0</v>
      </c>
      <c r="N555" s="446">
        <v>0</v>
      </c>
      <c r="O555" s="446">
        <v>0</v>
      </c>
      <c r="P555" s="446">
        <v>0</v>
      </c>
      <c r="Q555" s="446">
        <v>0</v>
      </c>
      <c r="R555" s="446">
        <v>0</v>
      </c>
      <c r="S555" s="446">
        <v>0</v>
      </c>
      <c r="T555" s="447">
        <v>0</v>
      </c>
      <c r="U555" s="446">
        <v>0</v>
      </c>
      <c r="V555" s="446"/>
    </row>
    <row r="556" spans="1:22" ht="25.5" customHeight="1">
      <c r="A556" s="445">
        <v>46293</v>
      </c>
      <c r="B556" s="446" t="s">
        <v>17</v>
      </c>
      <c r="C556" s="446" t="s">
        <v>108</v>
      </c>
      <c r="D556" s="446">
        <v>0</v>
      </c>
      <c r="E556" s="446">
        <v>0</v>
      </c>
      <c r="F556" s="446">
        <v>0</v>
      </c>
      <c r="G556" s="446">
        <v>0</v>
      </c>
      <c r="H556" s="446">
        <v>0</v>
      </c>
      <c r="I556" s="446">
        <v>0</v>
      </c>
      <c r="J556" s="446">
        <v>0</v>
      </c>
      <c r="K556" s="446">
        <v>0</v>
      </c>
      <c r="L556" s="446">
        <v>0</v>
      </c>
      <c r="M556" s="446">
        <v>0</v>
      </c>
      <c r="N556" s="446">
        <v>0</v>
      </c>
      <c r="O556" s="446">
        <v>0</v>
      </c>
      <c r="P556" s="446">
        <v>0</v>
      </c>
      <c r="Q556" s="446">
        <v>0</v>
      </c>
      <c r="R556" s="446">
        <v>0</v>
      </c>
      <c r="S556" s="446">
        <v>0</v>
      </c>
      <c r="T556" s="447">
        <v>0</v>
      </c>
      <c r="U556" s="446">
        <v>0</v>
      </c>
      <c r="V556" s="446"/>
    </row>
    <row r="557" spans="1:22" ht="25.5" customHeight="1">
      <c r="A557" s="445">
        <v>46293</v>
      </c>
      <c r="B557" s="446" t="s">
        <v>17</v>
      </c>
      <c r="C557" s="446" t="s">
        <v>101</v>
      </c>
      <c r="D557" s="446">
        <v>0</v>
      </c>
      <c r="E557" s="446">
        <v>0</v>
      </c>
      <c r="F557" s="446">
        <v>0</v>
      </c>
      <c r="G557" s="446">
        <v>0</v>
      </c>
      <c r="H557" s="446">
        <v>0</v>
      </c>
      <c r="I557" s="446">
        <v>0</v>
      </c>
      <c r="J557" s="446">
        <v>0</v>
      </c>
      <c r="K557" s="446">
        <v>0</v>
      </c>
      <c r="L557" s="446">
        <v>0</v>
      </c>
      <c r="M557" s="446">
        <v>0</v>
      </c>
      <c r="N557" s="446">
        <v>0</v>
      </c>
      <c r="O557" s="446">
        <v>0</v>
      </c>
      <c r="P557" s="446">
        <v>0</v>
      </c>
      <c r="Q557" s="446">
        <v>0</v>
      </c>
      <c r="R557" s="446">
        <v>0</v>
      </c>
      <c r="S557" s="446">
        <v>0</v>
      </c>
      <c r="T557" s="447">
        <v>0</v>
      </c>
      <c r="U557" s="446">
        <v>0</v>
      </c>
      <c r="V557" s="446"/>
    </row>
    <row r="558" spans="1:22" ht="25.5" customHeight="1">
      <c r="A558" s="445">
        <v>46293</v>
      </c>
      <c r="B558" s="446" t="s">
        <v>17</v>
      </c>
      <c r="C558" s="446" t="s">
        <v>106</v>
      </c>
      <c r="D558" s="446">
        <v>0</v>
      </c>
      <c r="E558" s="446">
        <v>0</v>
      </c>
      <c r="F558" s="446">
        <v>0</v>
      </c>
      <c r="G558" s="446">
        <v>0</v>
      </c>
      <c r="H558" s="446">
        <v>0</v>
      </c>
      <c r="I558" s="446">
        <v>0</v>
      </c>
      <c r="J558" s="446">
        <v>0</v>
      </c>
      <c r="K558" s="446">
        <v>0</v>
      </c>
      <c r="L558" s="446">
        <v>0</v>
      </c>
      <c r="M558" s="446">
        <v>0</v>
      </c>
      <c r="N558" s="446">
        <v>0</v>
      </c>
      <c r="O558" s="446">
        <v>0</v>
      </c>
      <c r="P558" s="446">
        <v>0</v>
      </c>
      <c r="Q558" s="446">
        <v>0</v>
      </c>
      <c r="R558" s="446">
        <v>0</v>
      </c>
      <c r="S558" s="446">
        <v>0</v>
      </c>
      <c r="T558" s="447">
        <v>0</v>
      </c>
      <c r="U558" s="446">
        <v>0</v>
      </c>
      <c r="V558" s="446"/>
    </row>
    <row r="559" spans="1:22" ht="25.5" customHeight="1">
      <c r="A559" s="445">
        <v>46293</v>
      </c>
      <c r="B559" s="446" t="s">
        <v>22</v>
      </c>
      <c r="C559" s="446" t="s">
        <v>23</v>
      </c>
      <c r="D559" s="446">
        <v>0</v>
      </c>
      <c r="E559" s="446">
        <v>0</v>
      </c>
      <c r="F559" s="446">
        <v>0</v>
      </c>
      <c r="G559" s="446">
        <v>0</v>
      </c>
      <c r="H559" s="446">
        <v>0</v>
      </c>
      <c r="I559" s="446">
        <v>0</v>
      </c>
      <c r="J559" s="446">
        <v>0</v>
      </c>
      <c r="K559" s="446">
        <v>0</v>
      </c>
      <c r="L559" s="446">
        <v>0</v>
      </c>
      <c r="M559" s="446">
        <v>0</v>
      </c>
      <c r="N559" s="446">
        <v>0</v>
      </c>
      <c r="O559" s="446">
        <v>0</v>
      </c>
      <c r="P559" s="446">
        <v>0</v>
      </c>
      <c r="Q559" s="446">
        <v>0</v>
      </c>
      <c r="R559" s="446">
        <v>0</v>
      </c>
      <c r="S559" s="446">
        <v>0</v>
      </c>
      <c r="T559" s="447">
        <v>0</v>
      </c>
      <c r="U559" s="446">
        <v>0</v>
      </c>
      <c r="V559" s="446"/>
    </row>
    <row r="560" spans="1:22" ht="25.5" customHeight="1">
      <c r="A560" s="445">
        <v>46293</v>
      </c>
      <c r="B560" s="446" t="s">
        <v>18</v>
      </c>
      <c r="C560" s="446" t="s">
        <v>97</v>
      </c>
      <c r="D560" s="446">
        <v>0</v>
      </c>
      <c r="E560" s="446">
        <v>0</v>
      </c>
      <c r="F560" s="446">
        <v>0</v>
      </c>
      <c r="G560" s="446">
        <v>0</v>
      </c>
      <c r="H560" s="446">
        <v>0</v>
      </c>
      <c r="I560" s="446">
        <v>0</v>
      </c>
      <c r="J560" s="446">
        <v>0</v>
      </c>
      <c r="K560" s="446">
        <v>0</v>
      </c>
      <c r="L560" s="446">
        <v>0</v>
      </c>
      <c r="M560" s="446">
        <v>0</v>
      </c>
      <c r="N560" s="446">
        <v>0</v>
      </c>
      <c r="O560" s="446">
        <v>0</v>
      </c>
      <c r="P560" s="446">
        <v>0</v>
      </c>
      <c r="Q560" s="446">
        <v>0</v>
      </c>
      <c r="R560" s="446">
        <v>0</v>
      </c>
      <c r="S560" s="446">
        <v>0</v>
      </c>
      <c r="T560" s="447">
        <v>0</v>
      </c>
      <c r="U560" s="446">
        <v>0</v>
      </c>
      <c r="V560" s="446"/>
    </row>
    <row r="561" spans="1:22" ht="25.5" customHeight="1">
      <c r="A561" s="445">
        <v>46293</v>
      </c>
      <c r="B561" s="446" t="s">
        <v>18</v>
      </c>
      <c r="C561" s="446" t="s">
        <v>98</v>
      </c>
      <c r="D561" s="446">
        <v>0</v>
      </c>
      <c r="E561" s="446">
        <v>0</v>
      </c>
      <c r="F561" s="446">
        <v>0</v>
      </c>
      <c r="G561" s="446">
        <v>0</v>
      </c>
      <c r="H561" s="446">
        <v>0</v>
      </c>
      <c r="I561" s="446">
        <v>0</v>
      </c>
      <c r="J561" s="446">
        <v>0</v>
      </c>
      <c r="K561" s="446">
        <v>0</v>
      </c>
      <c r="L561" s="446">
        <v>0</v>
      </c>
      <c r="M561" s="446">
        <v>0</v>
      </c>
      <c r="N561" s="446">
        <v>0</v>
      </c>
      <c r="O561" s="446">
        <v>0</v>
      </c>
      <c r="P561" s="446">
        <v>0</v>
      </c>
      <c r="Q561" s="446">
        <v>0</v>
      </c>
      <c r="R561" s="446">
        <v>0</v>
      </c>
      <c r="S561" s="446">
        <v>0</v>
      </c>
      <c r="T561" s="447">
        <v>0</v>
      </c>
      <c r="U561" s="446">
        <v>0</v>
      </c>
      <c r="V561" s="446"/>
    </row>
    <row r="562" spans="1:22" ht="25.5" customHeight="1">
      <c r="A562" s="445">
        <v>46293</v>
      </c>
      <c r="B562" s="446" t="s">
        <v>18</v>
      </c>
      <c r="C562" s="446" t="s">
        <v>110</v>
      </c>
      <c r="D562" s="446">
        <v>0</v>
      </c>
      <c r="E562" s="446">
        <v>0</v>
      </c>
      <c r="F562" s="446">
        <v>0</v>
      </c>
      <c r="G562" s="446">
        <v>0</v>
      </c>
      <c r="H562" s="446">
        <v>0</v>
      </c>
      <c r="I562" s="446">
        <v>0</v>
      </c>
      <c r="J562" s="446">
        <v>0</v>
      </c>
      <c r="K562" s="446">
        <v>0</v>
      </c>
      <c r="L562" s="446">
        <v>0</v>
      </c>
      <c r="M562" s="446">
        <v>0</v>
      </c>
      <c r="N562" s="446">
        <v>0</v>
      </c>
      <c r="O562" s="446">
        <v>0</v>
      </c>
      <c r="P562" s="446">
        <v>0</v>
      </c>
      <c r="Q562" s="446">
        <v>0</v>
      </c>
      <c r="R562" s="446">
        <v>0</v>
      </c>
      <c r="S562" s="446">
        <v>0</v>
      </c>
      <c r="T562" s="447">
        <v>0</v>
      </c>
      <c r="U562" s="446">
        <v>0</v>
      </c>
      <c r="V562" s="446"/>
    </row>
    <row r="563" spans="1:22" ht="25.5" customHeight="1">
      <c r="A563" s="445">
        <v>46293</v>
      </c>
      <c r="B563" s="446" t="s">
        <v>19</v>
      </c>
      <c r="C563" s="446" t="s">
        <v>99</v>
      </c>
      <c r="D563" s="446">
        <v>0</v>
      </c>
      <c r="E563" s="446">
        <v>0</v>
      </c>
      <c r="F563" s="446">
        <v>0</v>
      </c>
      <c r="G563" s="446">
        <v>0</v>
      </c>
      <c r="H563" s="446">
        <v>0</v>
      </c>
      <c r="I563" s="446">
        <v>0</v>
      </c>
      <c r="J563" s="446">
        <v>0</v>
      </c>
      <c r="K563" s="446">
        <v>0</v>
      </c>
      <c r="L563" s="446">
        <v>0</v>
      </c>
      <c r="M563" s="446">
        <v>0</v>
      </c>
      <c r="N563" s="446">
        <v>0</v>
      </c>
      <c r="O563" s="446">
        <v>0</v>
      </c>
      <c r="P563" s="446">
        <v>0</v>
      </c>
      <c r="Q563" s="446">
        <v>0</v>
      </c>
      <c r="R563" s="446">
        <v>0</v>
      </c>
      <c r="S563" s="446">
        <v>0</v>
      </c>
      <c r="T563" s="447">
        <v>0</v>
      </c>
      <c r="U563" s="446">
        <v>0</v>
      </c>
      <c r="V563" s="446"/>
    </row>
    <row r="564" spans="1:22" ht="25.5" customHeight="1">
      <c r="A564" s="445">
        <v>46293</v>
      </c>
      <c r="B564" s="446" t="s">
        <v>19</v>
      </c>
      <c r="C564" s="446" t="s">
        <v>88</v>
      </c>
      <c r="D564" s="446">
        <v>0</v>
      </c>
      <c r="E564" s="446">
        <v>0</v>
      </c>
      <c r="F564" s="446">
        <v>0</v>
      </c>
      <c r="G564" s="446">
        <v>0</v>
      </c>
      <c r="H564" s="446">
        <v>0</v>
      </c>
      <c r="I564" s="446">
        <v>0</v>
      </c>
      <c r="J564" s="446">
        <v>0</v>
      </c>
      <c r="K564" s="446">
        <v>0</v>
      </c>
      <c r="L564" s="446">
        <v>0</v>
      </c>
      <c r="M564" s="446">
        <v>0</v>
      </c>
      <c r="N564" s="446">
        <v>0</v>
      </c>
      <c r="O564" s="446">
        <v>0</v>
      </c>
      <c r="P564" s="446">
        <v>0</v>
      </c>
      <c r="Q564" s="446">
        <v>0</v>
      </c>
      <c r="R564" s="446">
        <v>0</v>
      </c>
      <c r="S564" s="446">
        <v>0</v>
      </c>
      <c r="T564" s="447">
        <v>0</v>
      </c>
      <c r="U564" s="446">
        <v>0</v>
      </c>
      <c r="V564" s="446"/>
    </row>
    <row r="565" spans="1:22" ht="25.5" customHeight="1">
      <c r="A565" s="445">
        <v>46293</v>
      </c>
      <c r="B565" s="446" t="s">
        <v>19</v>
      </c>
      <c r="C565" s="446" t="s">
        <v>107</v>
      </c>
      <c r="D565" s="446">
        <v>0</v>
      </c>
      <c r="E565" s="446">
        <v>0</v>
      </c>
      <c r="F565" s="446">
        <v>0</v>
      </c>
      <c r="G565" s="446">
        <v>0</v>
      </c>
      <c r="H565" s="446">
        <v>0</v>
      </c>
      <c r="I565" s="446">
        <v>0</v>
      </c>
      <c r="J565" s="446">
        <v>0</v>
      </c>
      <c r="K565" s="446">
        <v>0</v>
      </c>
      <c r="L565" s="446">
        <v>0</v>
      </c>
      <c r="M565" s="446">
        <v>0</v>
      </c>
      <c r="N565" s="446">
        <v>0</v>
      </c>
      <c r="O565" s="446">
        <v>0</v>
      </c>
      <c r="P565" s="446">
        <v>0</v>
      </c>
      <c r="Q565" s="446">
        <v>0</v>
      </c>
      <c r="R565" s="446">
        <v>0</v>
      </c>
      <c r="S565" s="446">
        <v>0</v>
      </c>
      <c r="T565" s="447">
        <v>0</v>
      </c>
      <c r="U565" s="446">
        <v>0</v>
      </c>
      <c r="V565" s="446"/>
    </row>
    <row r="566" spans="1:22" ht="25.5" customHeight="1">
      <c r="A566" s="445">
        <v>46293</v>
      </c>
      <c r="B566" s="446" t="s">
        <v>20</v>
      </c>
      <c r="C566" s="446" t="s">
        <v>93</v>
      </c>
      <c r="D566" s="446">
        <v>0</v>
      </c>
      <c r="E566" s="446">
        <v>0</v>
      </c>
      <c r="F566" s="446">
        <v>0</v>
      </c>
      <c r="G566" s="446">
        <v>0</v>
      </c>
      <c r="H566" s="446">
        <v>0</v>
      </c>
      <c r="I566" s="446">
        <v>0</v>
      </c>
      <c r="J566" s="446">
        <v>0</v>
      </c>
      <c r="K566" s="446">
        <v>0</v>
      </c>
      <c r="L566" s="446">
        <v>0</v>
      </c>
      <c r="M566" s="446">
        <v>0</v>
      </c>
      <c r="N566" s="446">
        <v>0</v>
      </c>
      <c r="O566" s="446">
        <v>0</v>
      </c>
      <c r="P566" s="446">
        <v>0</v>
      </c>
      <c r="Q566" s="446">
        <v>0</v>
      </c>
      <c r="R566" s="446">
        <v>0</v>
      </c>
      <c r="S566" s="446">
        <v>0</v>
      </c>
      <c r="T566" s="447">
        <v>0</v>
      </c>
      <c r="U566" s="446">
        <v>0</v>
      </c>
      <c r="V566" s="446"/>
    </row>
    <row r="567" spans="1:22" ht="25.5" customHeight="1">
      <c r="A567" s="445">
        <v>46293</v>
      </c>
      <c r="B567" s="446" t="s">
        <v>20</v>
      </c>
      <c r="C567" s="446" t="s">
        <v>105</v>
      </c>
      <c r="D567" s="446">
        <v>0</v>
      </c>
      <c r="E567" s="446">
        <v>0</v>
      </c>
      <c r="F567" s="446">
        <v>0</v>
      </c>
      <c r="G567" s="446">
        <v>0</v>
      </c>
      <c r="H567" s="446">
        <v>0</v>
      </c>
      <c r="I567" s="446">
        <v>0</v>
      </c>
      <c r="J567" s="446">
        <v>0</v>
      </c>
      <c r="K567" s="446">
        <v>0</v>
      </c>
      <c r="L567" s="446">
        <v>0</v>
      </c>
      <c r="M567" s="446">
        <v>0</v>
      </c>
      <c r="N567" s="446">
        <v>0</v>
      </c>
      <c r="O567" s="446">
        <v>0</v>
      </c>
      <c r="P567" s="446">
        <v>0</v>
      </c>
      <c r="Q567" s="446">
        <v>0</v>
      </c>
      <c r="R567" s="446">
        <v>0</v>
      </c>
      <c r="S567" s="446">
        <v>0</v>
      </c>
      <c r="T567" s="447">
        <v>0</v>
      </c>
      <c r="U567" s="446">
        <v>0</v>
      </c>
      <c r="V567" s="446"/>
    </row>
    <row r="568" spans="1:22" ht="25.5" customHeight="1">
      <c r="A568" s="445">
        <v>46293</v>
      </c>
      <c r="B568" s="446" t="s">
        <v>20</v>
      </c>
      <c r="C568" s="446" t="s">
        <v>102</v>
      </c>
      <c r="D568" s="446">
        <v>0</v>
      </c>
      <c r="E568" s="446">
        <v>0</v>
      </c>
      <c r="F568" s="446">
        <v>0</v>
      </c>
      <c r="G568" s="446">
        <v>0</v>
      </c>
      <c r="H568" s="446">
        <v>0</v>
      </c>
      <c r="I568" s="446">
        <v>0</v>
      </c>
      <c r="J568" s="446">
        <v>0</v>
      </c>
      <c r="K568" s="446">
        <v>0</v>
      </c>
      <c r="L568" s="446">
        <v>0</v>
      </c>
      <c r="M568" s="446">
        <v>0</v>
      </c>
      <c r="N568" s="446">
        <v>0</v>
      </c>
      <c r="O568" s="446">
        <v>0</v>
      </c>
      <c r="P568" s="446">
        <v>0</v>
      </c>
      <c r="Q568" s="446">
        <v>0</v>
      </c>
      <c r="R568" s="446">
        <v>0</v>
      </c>
      <c r="S568" s="446">
        <v>0</v>
      </c>
      <c r="T568" s="447">
        <v>0</v>
      </c>
      <c r="U568" s="446">
        <v>0</v>
      </c>
      <c r="V568" s="446"/>
    </row>
    <row r="569" spans="1:22" ht="25.5" customHeight="1">
      <c r="A569" s="445">
        <v>46293</v>
      </c>
      <c r="B569" s="446" t="s">
        <v>20</v>
      </c>
      <c r="C569" s="446" t="s">
        <v>111</v>
      </c>
      <c r="D569" s="446">
        <v>0</v>
      </c>
      <c r="E569" s="446">
        <v>0</v>
      </c>
      <c r="F569" s="446">
        <v>0</v>
      </c>
      <c r="G569" s="446">
        <v>0</v>
      </c>
      <c r="H569" s="446">
        <v>0</v>
      </c>
      <c r="I569" s="446">
        <v>0</v>
      </c>
      <c r="J569" s="446">
        <v>0</v>
      </c>
      <c r="K569" s="446">
        <v>0</v>
      </c>
      <c r="L569" s="446">
        <v>0</v>
      </c>
      <c r="M569" s="446">
        <v>0</v>
      </c>
      <c r="N569" s="446">
        <v>0</v>
      </c>
      <c r="O569" s="446">
        <v>0</v>
      </c>
      <c r="P569" s="446">
        <v>0</v>
      </c>
      <c r="Q569" s="446">
        <v>0</v>
      </c>
      <c r="R569" s="446">
        <v>0</v>
      </c>
      <c r="S569" s="446">
        <v>0</v>
      </c>
      <c r="T569" s="447">
        <v>0</v>
      </c>
      <c r="U569" s="446">
        <v>0</v>
      </c>
      <c r="V569" s="446"/>
    </row>
    <row r="570" spans="1:22" ht="25.5" customHeight="1">
      <c r="A570" s="445">
        <v>46293</v>
      </c>
      <c r="B570" s="446" t="s">
        <v>21</v>
      </c>
      <c r="C570" s="446" t="s">
        <v>90</v>
      </c>
      <c r="D570" s="446">
        <v>0</v>
      </c>
      <c r="E570" s="446">
        <v>0</v>
      </c>
      <c r="F570" s="446">
        <v>0</v>
      </c>
      <c r="G570" s="446">
        <v>0</v>
      </c>
      <c r="H570" s="446">
        <v>0</v>
      </c>
      <c r="I570" s="446">
        <v>0</v>
      </c>
      <c r="J570" s="446">
        <v>0</v>
      </c>
      <c r="K570" s="446">
        <v>0</v>
      </c>
      <c r="L570" s="446">
        <v>0</v>
      </c>
      <c r="M570" s="446">
        <v>0</v>
      </c>
      <c r="N570" s="446">
        <v>0</v>
      </c>
      <c r="O570" s="446">
        <v>0</v>
      </c>
      <c r="P570" s="446">
        <v>0</v>
      </c>
      <c r="Q570" s="446">
        <v>0</v>
      </c>
      <c r="R570" s="446">
        <v>0</v>
      </c>
      <c r="S570" s="446">
        <v>0</v>
      </c>
      <c r="T570" s="447">
        <v>0</v>
      </c>
      <c r="U570" s="446">
        <v>0</v>
      </c>
      <c r="V570" s="446"/>
    </row>
    <row r="571" spans="1:22" ht="25.5" customHeight="1">
      <c r="A571" s="445">
        <v>46293</v>
      </c>
      <c r="B571" s="446" t="s">
        <v>21</v>
      </c>
      <c r="C571" s="446" t="s">
        <v>109</v>
      </c>
      <c r="D571" s="446">
        <v>0</v>
      </c>
      <c r="E571" s="446">
        <v>0</v>
      </c>
      <c r="F571" s="446">
        <v>0</v>
      </c>
      <c r="G571" s="446">
        <v>0</v>
      </c>
      <c r="H571" s="446">
        <v>0</v>
      </c>
      <c r="I571" s="446">
        <v>0</v>
      </c>
      <c r="J571" s="446">
        <v>0</v>
      </c>
      <c r="K571" s="446">
        <v>0</v>
      </c>
      <c r="L571" s="446">
        <v>0</v>
      </c>
      <c r="M571" s="446">
        <v>0</v>
      </c>
      <c r="N571" s="446">
        <v>0</v>
      </c>
      <c r="O571" s="446">
        <v>0</v>
      </c>
      <c r="P571" s="446">
        <v>0</v>
      </c>
      <c r="Q571" s="446">
        <v>0</v>
      </c>
      <c r="R571" s="446">
        <v>0</v>
      </c>
      <c r="S571" s="446">
        <v>0</v>
      </c>
      <c r="T571" s="447">
        <v>0</v>
      </c>
      <c r="U571" s="446">
        <v>0</v>
      </c>
      <c r="V571" s="446"/>
    </row>
    <row r="572" spans="1:22" ht="25.5" customHeight="1">
      <c r="A572" s="445">
        <v>46293</v>
      </c>
      <c r="B572" s="446" t="s">
        <v>21</v>
      </c>
      <c r="C572" s="446" t="s">
        <v>103</v>
      </c>
      <c r="D572" s="446">
        <v>0</v>
      </c>
      <c r="E572" s="446">
        <v>0</v>
      </c>
      <c r="F572" s="446">
        <v>0</v>
      </c>
      <c r="G572" s="446">
        <v>0</v>
      </c>
      <c r="H572" s="446">
        <v>0</v>
      </c>
      <c r="I572" s="446">
        <v>0</v>
      </c>
      <c r="J572" s="446">
        <v>0</v>
      </c>
      <c r="K572" s="446">
        <v>0</v>
      </c>
      <c r="L572" s="446">
        <v>0</v>
      </c>
      <c r="M572" s="446">
        <v>0</v>
      </c>
      <c r="N572" s="446">
        <v>0</v>
      </c>
      <c r="O572" s="446">
        <v>0</v>
      </c>
      <c r="P572" s="446">
        <v>0</v>
      </c>
      <c r="Q572" s="446">
        <v>0</v>
      </c>
      <c r="R572" s="446">
        <v>0</v>
      </c>
      <c r="S572" s="446">
        <v>0</v>
      </c>
      <c r="T572" s="447">
        <v>0</v>
      </c>
      <c r="U572" s="446">
        <v>0</v>
      </c>
      <c r="V572" s="446"/>
    </row>
    <row r="573" spans="1:22" ht="25.5" customHeight="1">
      <c r="A573" s="445">
        <v>46293</v>
      </c>
      <c r="B573" s="446" t="s">
        <v>21</v>
      </c>
      <c r="C573" s="446" t="s">
        <v>112</v>
      </c>
      <c r="D573" s="446">
        <v>0</v>
      </c>
      <c r="E573" s="446">
        <v>0</v>
      </c>
      <c r="F573" s="446">
        <v>0</v>
      </c>
      <c r="G573" s="446">
        <v>0</v>
      </c>
      <c r="H573" s="446">
        <v>0</v>
      </c>
      <c r="I573" s="446">
        <v>0</v>
      </c>
      <c r="J573" s="446">
        <v>0</v>
      </c>
      <c r="K573" s="446">
        <v>0</v>
      </c>
      <c r="L573" s="446">
        <v>0</v>
      </c>
      <c r="M573" s="446">
        <v>0</v>
      </c>
      <c r="N573" s="446">
        <v>0</v>
      </c>
      <c r="O573" s="446">
        <v>0</v>
      </c>
      <c r="P573" s="446">
        <v>0</v>
      </c>
      <c r="Q573" s="446">
        <v>0</v>
      </c>
      <c r="R573" s="446">
        <v>0</v>
      </c>
      <c r="S573" s="446">
        <v>0</v>
      </c>
      <c r="T573" s="447">
        <v>0</v>
      </c>
      <c r="U573" s="446">
        <v>0</v>
      </c>
      <c r="V573" s="446"/>
    </row>
  </sheetData>
  <autoFilter ref="A3:AD573" xr:uid="{00000000-0009-0000-0000-00000D000000}"/>
  <mergeCells count="2">
    <mergeCell ref="A1:V1"/>
    <mergeCell ref="A2:V2"/>
  </mergeCells>
  <phoneticPr fontId="14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36"/>
  <sheetViews>
    <sheetView zoomScale="117" zoomScaleNormal="117" workbookViewId="0">
      <pane xSplit="3" ySplit="1" topLeftCell="D2" activePane="bottomRight" state="frozen"/>
      <selection pane="topRight" activeCell="D1" sqref="D1"/>
      <selection pane="bottomLeft" activeCell="A14" sqref="A14"/>
      <selection pane="bottomRight" activeCell="D7" sqref="D7"/>
    </sheetView>
  </sheetViews>
  <sheetFormatPr defaultColWidth="8.5703125" defaultRowHeight="15.75"/>
  <cols>
    <col min="1" max="1" width="9.5703125" customWidth="1"/>
    <col min="2" max="2" width="15.42578125" style="451" customWidth="1"/>
    <col min="3" max="3" width="16" customWidth="1"/>
    <col min="4" max="4" width="15.42578125" customWidth="1"/>
    <col min="5" max="5" width="15.42578125" customWidth="1" collapsed="1"/>
    <col min="6" max="6" width="15.42578125" customWidth="1"/>
    <col min="7" max="7" width="15.42578125" customWidth="1" collapsed="1"/>
    <col min="8" max="8" width="15.42578125" customWidth="1"/>
    <col min="9" max="9" width="21" customWidth="1" collapsed="1"/>
    <col min="10" max="10" width="19.42578125" customWidth="1"/>
    <col min="11" max="11" width="17" customWidth="1"/>
    <col min="12" max="12" width="23.140625" customWidth="1"/>
    <col min="13" max="13" width="15.85546875" customWidth="1"/>
    <col min="14" max="14" width="15.7109375" customWidth="1"/>
    <col min="15" max="15" width="19.5703125" customWidth="1"/>
    <col min="16" max="16" width="24.7109375" customWidth="1"/>
    <col min="17" max="17" width="15.85546875" customWidth="1"/>
    <col min="18" max="18" width="16.85546875" customWidth="1"/>
    <col min="19" max="20" width="15.42578125" customWidth="1"/>
    <col min="21" max="21" width="11.7109375" customWidth="1"/>
    <col min="22" max="22" width="15.42578125" customWidth="1"/>
    <col min="23" max="23" width="9.140625" customWidth="1"/>
    <col min="24" max="24" width="17.5703125" customWidth="1"/>
    <col min="25" max="26" width="9.140625" customWidth="1"/>
    <col min="27" max="28" width="10.140625" customWidth="1"/>
    <col min="29" max="29" width="10.5703125" style="451" customWidth="1"/>
    <col min="30" max="30" width="11.42578125" style="451" customWidth="1"/>
    <col min="31" max="31" width="11.140625" customWidth="1"/>
    <col min="32" max="32" width="11.140625" style="451" customWidth="1"/>
    <col min="33" max="34" width="9.140625" customWidth="1"/>
    <col min="35" max="35" width="12.5703125" customWidth="1"/>
    <col min="36" max="36" width="9.140625" style="399" customWidth="1"/>
  </cols>
  <sheetData>
    <row r="1" spans="1:38" ht="31.5" customHeight="1">
      <c r="A1" s="452" t="s">
        <v>7</v>
      </c>
      <c r="B1" s="453" t="s">
        <v>376</v>
      </c>
      <c r="C1" s="452" t="s">
        <v>391</v>
      </c>
      <c r="D1" s="452" t="s">
        <v>392</v>
      </c>
      <c r="E1" s="452" t="s">
        <v>393</v>
      </c>
      <c r="F1" s="452" t="s">
        <v>394</v>
      </c>
      <c r="G1" s="452" t="s">
        <v>395</v>
      </c>
      <c r="H1" s="452" t="s">
        <v>396</v>
      </c>
      <c r="I1" s="452" t="s">
        <v>397</v>
      </c>
      <c r="J1" s="452" t="s">
        <v>398</v>
      </c>
      <c r="K1" s="452" t="s">
        <v>399</v>
      </c>
      <c r="L1" s="452" t="s">
        <v>400</v>
      </c>
      <c r="M1" s="452" t="s">
        <v>401</v>
      </c>
      <c r="N1" s="452" t="s">
        <v>402</v>
      </c>
      <c r="O1" s="452" t="s">
        <v>403</v>
      </c>
      <c r="P1" s="452" t="s">
        <v>404</v>
      </c>
      <c r="Q1" s="452" t="s">
        <v>405</v>
      </c>
      <c r="R1" s="452" t="s">
        <v>406</v>
      </c>
      <c r="S1" s="452" t="s">
        <v>407</v>
      </c>
      <c r="T1" s="452" t="s">
        <v>408</v>
      </c>
      <c r="U1" s="452" t="s">
        <v>409</v>
      </c>
      <c r="V1" s="452" t="s">
        <v>410</v>
      </c>
      <c r="W1" s="452" t="s">
        <v>411</v>
      </c>
      <c r="X1" s="452" t="s">
        <v>412</v>
      </c>
      <c r="Y1" s="452" t="s">
        <v>413</v>
      </c>
      <c r="Z1" s="452" t="s">
        <v>414</v>
      </c>
      <c r="AA1" s="452" t="s">
        <v>415</v>
      </c>
      <c r="AB1" s="452" t="s">
        <v>416</v>
      </c>
      <c r="AC1" s="453" t="s">
        <v>417</v>
      </c>
      <c r="AD1" s="453" t="s">
        <v>387</v>
      </c>
      <c r="AE1" s="452" t="s">
        <v>418</v>
      </c>
      <c r="AF1" s="453" t="s">
        <v>419</v>
      </c>
      <c r="AG1" s="452" t="s">
        <v>388</v>
      </c>
      <c r="AH1" s="454" t="s">
        <v>252</v>
      </c>
      <c r="AI1" s="452" t="s">
        <v>420</v>
      </c>
      <c r="AJ1" s="455" t="s">
        <v>421</v>
      </c>
      <c r="AK1" s="444"/>
      <c r="AL1" s="444"/>
    </row>
    <row r="2" spans="1:38" ht="31.5" customHeight="1">
      <c r="A2" s="456" t="s">
        <v>96</v>
      </c>
      <c r="B2" s="457">
        <v>112520.11000000002</v>
      </c>
      <c r="C2" s="458">
        <v>23.5</v>
      </c>
      <c r="D2" s="458">
        <v>2</v>
      </c>
      <c r="E2" s="458">
        <v>23.5</v>
      </c>
      <c r="F2" s="459">
        <v>2</v>
      </c>
      <c r="G2" s="459">
        <v>3</v>
      </c>
      <c r="H2" s="456">
        <v>0</v>
      </c>
      <c r="I2" s="456">
        <v>143.25</v>
      </c>
      <c r="J2" s="456">
        <v>19</v>
      </c>
      <c r="K2" s="456">
        <v>3</v>
      </c>
      <c r="L2" s="456">
        <v>5</v>
      </c>
      <c r="M2" s="456">
        <v>0</v>
      </c>
      <c r="N2" s="456">
        <v>9</v>
      </c>
      <c r="O2" s="456">
        <v>1</v>
      </c>
      <c r="P2" s="456">
        <v>12</v>
      </c>
      <c r="Q2" s="456">
        <v>3</v>
      </c>
      <c r="R2" s="456">
        <v>4</v>
      </c>
      <c r="S2" s="456">
        <v>3</v>
      </c>
      <c r="T2" s="456">
        <v>9</v>
      </c>
      <c r="U2" s="456">
        <v>1</v>
      </c>
      <c r="V2" s="456">
        <v>15</v>
      </c>
      <c r="W2" s="456">
        <v>2</v>
      </c>
      <c r="X2" s="456">
        <v>9</v>
      </c>
      <c r="Y2" s="456">
        <v>2</v>
      </c>
      <c r="Z2" s="456">
        <v>0</v>
      </c>
      <c r="AA2" s="456">
        <v>0</v>
      </c>
      <c r="AB2" s="456">
        <v>0</v>
      </c>
      <c r="AC2" s="460">
        <v>0</v>
      </c>
      <c r="AD2" s="460">
        <v>5</v>
      </c>
      <c r="AE2" s="459">
        <v>9566.02</v>
      </c>
      <c r="AF2" s="460">
        <v>11660.8</v>
      </c>
      <c r="AG2" s="456">
        <v>0</v>
      </c>
      <c r="AH2" s="456"/>
      <c r="AI2" s="456">
        <v>0</v>
      </c>
      <c r="AJ2" s="399">
        <v>0</v>
      </c>
    </row>
    <row r="3" spans="1:38" ht="31.5" customHeight="1">
      <c r="A3" s="461" t="s">
        <v>108</v>
      </c>
      <c r="B3" s="457">
        <v>107489.29999999999</v>
      </c>
      <c r="C3" s="458">
        <v>23.5</v>
      </c>
      <c r="D3" s="458">
        <v>0</v>
      </c>
      <c r="E3" s="458">
        <v>23.5</v>
      </c>
      <c r="F3" s="459">
        <v>0</v>
      </c>
      <c r="G3" s="459">
        <v>2</v>
      </c>
      <c r="H3" s="456">
        <v>0</v>
      </c>
      <c r="I3" s="456">
        <v>216</v>
      </c>
      <c r="J3" s="456">
        <v>26</v>
      </c>
      <c r="K3" s="456">
        <v>2</v>
      </c>
      <c r="L3" s="456">
        <v>10</v>
      </c>
      <c r="M3" s="456">
        <v>1</v>
      </c>
      <c r="N3" s="456">
        <v>7</v>
      </c>
      <c r="O3" s="456">
        <v>0</v>
      </c>
      <c r="P3" s="456">
        <v>13</v>
      </c>
      <c r="Q3" s="456">
        <v>1</v>
      </c>
      <c r="R3" s="456">
        <v>10</v>
      </c>
      <c r="S3" s="456">
        <v>1</v>
      </c>
      <c r="T3" s="456">
        <v>10</v>
      </c>
      <c r="U3" s="456">
        <v>1</v>
      </c>
      <c r="V3" s="456">
        <v>23</v>
      </c>
      <c r="W3" s="456">
        <v>1</v>
      </c>
      <c r="X3" s="456">
        <v>11.5</v>
      </c>
      <c r="Y3" s="456">
        <v>1</v>
      </c>
      <c r="Z3" s="456">
        <v>0</v>
      </c>
      <c r="AA3" s="456">
        <v>0</v>
      </c>
      <c r="AB3" s="456">
        <v>0</v>
      </c>
      <c r="AC3" s="460">
        <v>1</v>
      </c>
      <c r="AD3" s="460">
        <v>1.5</v>
      </c>
      <c r="AE3" s="459">
        <v>9289.02</v>
      </c>
      <c r="AF3" s="460">
        <v>7331</v>
      </c>
      <c r="AG3" s="456">
        <v>0</v>
      </c>
      <c r="AH3" s="461"/>
      <c r="AI3" s="461">
        <v>0</v>
      </c>
      <c r="AJ3" s="399">
        <v>0</v>
      </c>
    </row>
    <row r="4" spans="1:38" ht="31.5" customHeight="1">
      <c r="A4" s="461" t="s">
        <v>101</v>
      </c>
      <c r="B4" s="457">
        <v>63688.2</v>
      </c>
      <c r="C4" s="458">
        <v>15</v>
      </c>
      <c r="D4" s="458">
        <v>0</v>
      </c>
      <c r="E4" s="458">
        <v>15</v>
      </c>
      <c r="F4" s="459">
        <v>0</v>
      </c>
      <c r="G4" s="459">
        <v>2</v>
      </c>
      <c r="H4" s="456">
        <v>0</v>
      </c>
      <c r="I4" s="456">
        <v>113.45</v>
      </c>
      <c r="J4" s="456">
        <v>14</v>
      </c>
      <c r="K4" s="456">
        <v>2</v>
      </c>
      <c r="L4" s="456">
        <v>9</v>
      </c>
      <c r="M4" s="456">
        <v>0</v>
      </c>
      <c r="N4" s="456">
        <v>7</v>
      </c>
      <c r="O4" s="456">
        <v>0</v>
      </c>
      <c r="P4" s="456">
        <v>9</v>
      </c>
      <c r="Q4" s="456">
        <v>1</v>
      </c>
      <c r="R4" s="456">
        <v>4</v>
      </c>
      <c r="S4" s="456">
        <v>0</v>
      </c>
      <c r="T4" s="456">
        <v>7</v>
      </c>
      <c r="U4" s="456">
        <v>0</v>
      </c>
      <c r="V4" s="456">
        <v>11</v>
      </c>
      <c r="W4" s="456">
        <v>2</v>
      </c>
      <c r="X4" s="456">
        <v>9.25</v>
      </c>
      <c r="Y4" s="456">
        <v>1</v>
      </c>
      <c r="Z4" s="456">
        <v>2</v>
      </c>
      <c r="AA4" s="456">
        <v>0</v>
      </c>
      <c r="AB4" s="456">
        <v>0</v>
      </c>
      <c r="AC4" s="460">
        <v>1</v>
      </c>
      <c r="AD4" s="460">
        <v>2</v>
      </c>
      <c r="AE4" s="459">
        <v>2316.36</v>
      </c>
      <c r="AF4" s="460">
        <v>5684.8</v>
      </c>
      <c r="AG4" s="456">
        <v>0</v>
      </c>
      <c r="AH4" s="461"/>
      <c r="AI4" s="461">
        <v>0</v>
      </c>
      <c r="AJ4" s="399">
        <v>0</v>
      </c>
    </row>
    <row r="5" spans="1:38" ht="31.5" customHeight="1">
      <c r="A5" s="461" t="s">
        <v>106</v>
      </c>
      <c r="B5" s="457">
        <v>66111.88</v>
      </c>
      <c r="C5" s="458">
        <v>23</v>
      </c>
      <c r="D5" s="458">
        <v>11.5</v>
      </c>
      <c r="E5" s="458">
        <v>21.5</v>
      </c>
      <c r="F5" s="459">
        <v>11.5</v>
      </c>
      <c r="G5" s="459">
        <v>3</v>
      </c>
      <c r="H5" s="456">
        <v>1</v>
      </c>
      <c r="I5" s="456">
        <v>84.75</v>
      </c>
      <c r="J5" s="456">
        <v>15</v>
      </c>
      <c r="K5" s="456">
        <v>1</v>
      </c>
      <c r="L5" s="456">
        <v>5</v>
      </c>
      <c r="M5" s="456">
        <v>0</v>
      </c>
      <c r="N5" s="456">
        <v>8</v>
      </c>
      <c r="O5" s="456">
        <v>1</v>
      </c>
      <c r="P5" s="456">
        <v>6</v>
      </c>
      <c r="Q5" s="456">
        <v>0</v>
      </c>
      <c r="R5" s="456">
        <v>3</v>
      </c>
      <c r="S5" s="456">
        <v>0</v>
      </c>
      <c r="T5" s="456">
        <v>7</v>
      </c>
      <c r="U5" s="456">
        <v>2</v>
      </c>
      <c r="V5" s="456">
        <v>13</v>
      </c>
      <c r="W5" s="456">
        <v>1</v>
      </c>
      <c r="X5" s="456">
        <v>9</v>
      </c>
      <c r="Y5" s="456">
        <v>1</v>
      </c>
      <c r="Z5" s="456">
        <v>0</v>
      </c>
      <c r="AA5" s="456">
        <v>0</v>
      </c>
      <c r="AB5" s="456">
        <v>0</v>
      </c>
      <c r="AC5" s="460">
        <v>0</v>
      </c>
      <c r="AD5" s="460">
        <v>1.75</v>
      </c>
      <c r="AE5" s="459">
        <v>2617.02</v>
      </c>
      <c r="AF5" s="460">
        <v>4717</v>
      </c>
      <c r="AG5" s="456">
        <v>101</v>
      </c>
      <c r="AH5" s="461">
        <v>1</v>
      </c>
      <c r="AI5" s="461">
        <v>0</v>
      </c>
      <c r="AJ5" s="399">
        <v>0</v>
      </c>
    </row>
    <row r="6" spans="1:38" ht="31.5" customHeight="1">
      <c r="A6" s="461" t="s">
        <v>23</v>
      </c>
      <c r="B6" s="457">
        <v>147295.79999999999</v>
      </c>
      <c r="C6" s="458">
        <v>16.5</v>
      </c>
      <c r="D6" s="458">
        <v>0</v>
      </c>
      <c r="E6" s="458">
        <v>16.5</v>
      </c>
      <c r="F6" s="459">
        <v>0</v>
      </c>
      <c r="G6" s="459">
        <v>1</v>
      </c>
      <c r="H6" s="456">
        <v>0</v>
      </c>
      <c r="I6" s="456">
        <v>218.25</v>
      </c>
      <c r="J6" s="456">
        <v>29</v>
      </c>
      <c r="K6" s="456">
        <v>4</v>
      </c>
      <c r="L6" s="456">
        <v>11</v>
      </c>
      <c r="M6" s="456">
        <v>1</v>
      </c>
      <c r="N6" s="456">
        <v>13</v>
      </c>
      <c r="O6" s="456">
        <v>1</v>
      </c>
      <c r="P6" s="456">
        <v>14</v>
      </c>
      <c r="Q6" s="456">
        <v>2</v>
      </c>
      <c r="R6" s="456">
        <v>6</v>
      </c>
      <c r="S6" s="456">
        <v>2</v>
      </c>
      <c r="T6" s="456">
        <v>6</v>
      </c>
      <c r="U6" s="456">
        <v>0</v>
      </c>
      <c r="V6" s="456">
        <v>19</v>
      </c>
      <c r="W6" s="456">
        <v>3</v>
      </c>
      <c r="X6" s="456">
        <v>8</v>
      </c>
      <c r="Y6" s="456">
        <v>1</v>
      </c>
      <c r="Z6" s="456">
        <v>4.25</v>
      </c>
      <c r="AA6" s="456">
        <v>0</v>
      </c>
      <c r="AB6" s="456">
        <v>0</v>
      </c>
      <c r="AC6" s="460">
        <v>0</v>
      </c>
      <c r="AD6" s="460">
        <v>0.25</v>
      </c>
      <c r="AE6" s="459">
        <v>4060</v>
      </c>
      <c r="AF6" s="460">
        <v>13509.91</v>
      </c>
      <c r="AG6" s="456">
        <v>749</v>
      </c>
      <c r="AH6" s="461">
        <v>1</v>
      </c>
      <c r="AI6" s="461">
        <v>0</v>
      </c>
      <c r="AJ6" s="399">
        <v>0</v>
      </c>
    </row>
    <row r="7" spans="1:38" ht="31.5" customHeight="1">
      <c r="A7" s="461" t="s">
        <v>97</v>
      </c>
      <c r="B7" s="457">
        <v>71824.600000000006</v>
      </c>
      <c r="C7" s="458">
        <v>13.5</v>
      </c>
      <c r="D7" s="458">
        <v>0</v>
      </c>
      <c r="E7" s="458">
        <v>13.5</v>
      </c>
      <c r="F7" s="459">
        <v>0</v>
      </c>
      <c r="G7" s="459">
        <v>1</v>
      </c>
      <c r="H7" s="456">
        <v>0</v>
      </c>
      <c r="I7" s="456">
        <v>87.55</v>
      </c>
      <c r="J7" s="456">
        <v>12</v>
      </c>
      <c r="K7" s="456">
        <v>2</v>
      </c>
      <c r="L7" s="456">
        <v>4</v>
      </c>
      <c r="M7" s="456">
        <v>0</v>
      </c>
      <c r="N7" s="456">
        <v>2</v>
      </c>
      <c r="O7" s="456">
        <v>0</v>
      </c>
      <c r="P7" s="456">
        <v>6</v>
      </c>
      <c r="Q7" s="456">
        <v>0</v>
      </c>
      <c r="R7" s="456">
        <v>6</v>
      </c>
      <c r="S7" s="456">
        <v>0</v>
      </c>
      <c r="T7" s="456">
        <v>3</v>
      </c>
      <c r="U7" s="456">
        <v>0</v>
      </c>
      <c r="V7" s="456">
        <v>11</v>
      </c>
      <c r="W7" s="456">
        <v>2</v>
      </c>
      <c r="X7" s="456">
        <v>4</v>
      </c>
      <c r="Y7" s="456">
        <v>0</v>
      </c>
      <c r="Z7" s="456">
        <v>0</v>
      </c>
      <c r="AA7" s="456">
        <v>0</v>
      </c>
      <c r="AB7" s="456">
        <v>0</v>
      </c>
      <c r="AC7" s="460">
        <v>0</v>
      </c>
      <c r="AD7" s="460">
        <v>0.25</v>
      </c>
      <c r="AE7" s="459">
        <v>2109.8000000000002</v>
      </c>
      <c r="AF7" s="460">
        <v>4816</v>
      </c>
      <c r="AG7" s="456">
        <v>0</v>
      </c>
      <c r="AH7" s="461"/>
      <c r="AI7" s="461">
        <v>0</v>
      </c>
      <c r="AJ7" s="399">
        <v>0</v>
      </c>
    </row>
    <row r="8" spans="1:38" ht="31.5" customHeight="1">
      <c r="A8" s="461" t="s">
        <v>98</v>
      </c>
      <c r="B8" s="457">
        <v>137546.4</v>
      </c>
      <c r="C8" s="458">
        <v>35.5</v>
      </c>
      <c r="D8" s="458">
        <v>11.5</v>
      </c>
      <c r="E8" s="458">
        <v>35.5</v>
      </c>
      <c r="F8" s="459">
        <v>11.5</v>
      </c>
      <c r="G8" s="459">
        <v>4</v>
      </c>
      <c r="H8" s="456">
        <v>1</v>
      </c>
      <c r="I8" s="456">
        <v>159.94999999999999</v>
      </c>
      <c r="J8" s="456">
        <v>21</v>
      </c>
      <c r="K8" s="456">
        <v>3</v>
      </c>
      <c r="L8" s="456">
        <v>13</v>
      </c>
      <c r="M8" s="456">
        <v>0</v>
      </c>
      <c r="N8" s="456">
        <v>4</v>
      </c>
      <c r="O8" s="456">
        <v>1</v>
      </c>
      <c r="P8" s="456">
        <v>9</v>
      </c>
      <c r="Q8" s="456">
        <v>2</v>
      </c>
      <c r="R8" s="456">
        <v>6</v>
      </c>
      <c r="S8" s="456">
        <v>2</v>
      </c>
      <c r="T8" s="456">
        <v>10</v>
      </c>
      <c r="U8" s="456">
        <v>2</v>
      </c>
      <c r="V8" s="456">
        <v>16</v>
      </c>
      <c r="W8" s="456">
        <v>4</v>
      </c>
      <c r="X8" s="456">
        <v>10</v>
      </c>
      <c r="Y8" s="456">
        <v>2</v>
      </c>
      <c r="Z8" s="456">
        <v>1</v>
      </c>
      <c r="AA8" s="456">
        <v>0</v>
      </c>
      <c r="AB8" s="456">
        <v>0</v>
      </c>
      <c r="AC8" s="460">
        <v>2</v>
      </c>
      <c r="AD8" s="460">
        <v>1.25</v>
      </c>
      <c r="AE8" s="459">
        <v>7657</v>
      </c>
      <c r="AF8" s="460">
        <v>5358.8</v>
      </c>
      <c r="AG8" s="456">
        <v>999</v>
      </c>
      <c r="AH8" s="462"/>
      <c r="AI8" s="462">
        <v>0</v>
      </c>
      <c r="AJ8" s="399">
        <v>0</v>
      </c>
      <c r="AK8" s="462"/>
      <c r="AL8" s="462"/>
    </row>
    <row r="9" spans="1:38" ht="31.5" customHeight="1">
      <c r="A9" s="461" t="s">
        <v>110</v>
      </c>
      <c r="B9" s="457">
        <v>85619</v>
      </c>
      <c r="C9" s="458">
        <v>12</v>
      </c>
      <c r="D9" s="458">
        <v>0</v>
      </c>
      <c r="E9" s="458">
        <v>10.5</v>
      </c>
      <c r="F9" s="459">
        <v>0</v>
      </c>
      <c r="G9" s="459">
        <v>1</v>
      </c>
      <c r="H9" s="456">
        <v>0</v>
      </c>
      <c r="I9" s="456">
        <v>104.45</v>
      </c>
      <c r="J9" s="456">
        <v>12</v>
      </c>
      <c r="K9" s="456">
        <v>3</v>
      </c>
      <c r="L9" s="456">
        <v>7</v>
      </c>
      <c r="M9" s="456">
        <v>1</v>
      </c>
      <c r="N9" s="456">
        <v>4</v>
      </c>
      <c r="O9" s="456">
        <v>1</v>
      </c>
      <c r="P9" s="456">
        <v>4</v>
      </c>
      <c r="Q9" s="456">
        <v>3</v>
      </c>
      <c r="R9" s="456">
        <v>3</v>
      </c>
      <c r="S9" s="456">
        <v>0</v>
      </c>
      <c r="T9" s="456">
        <v>6</v>
      </c>
      <c r="U9" s="456">
        <v>0</v>
      </c>
      <c r="V9" s="456">
        <v>11</v>
      </c>
      <c r="W9" s="456">
        <v>2</v>
      </c>
      <c r="X9" s="456">
        <v>5.5</v>
      </c>
      <c r="Y9" s="456">
        <v>1</v>
      </c>
      <c r="Z9" s="456">
        <v>1.5</v>
      </c>
      <c r="AA9" s="456">
        <v>0</v>
      </c>
      <c r="AB9" s="456">
        <v>0</v>
      </c>
      <c r="AC9" s="460">
        <v>0</v>
      </c>
      <c r="AD9" s="460">
        <v>3</v>
      </c>
      <c r="AE9" s="459">
        <v>1837</v>
      </c>
      <c r="AF9" s="460">
        <v>2463</v>
      </c>
      <c r="AG9" s="456">
        <v>0</v>
      </c>
      <c r="AH9" s="461"/>
      <c r="AI9" s="461">
        <v>0</v>
      </c>
      <c r="AJ9" s="399">
        <v>0</v>
      </c>
    </row>
    <row r="10" spans="1:38" ht="31.5" customHeight="1">
      <c r="A10" s="461" t="s">
        <v>99</v>
      </c>
      <c r="B10" s="457">
        <v>92735.5</v>
      </c>
      <c r="C10" s="458">
        <v>15.5</v>
      </c>
      <c r="D10" s="458">
        <v>0</v>
      </c>
      <c r="E10" s="458">
        <v>15.5</v>
      </c>
      <c r="F10" s="459">
        <v>0</v>
      </c>
      <c r="G10" s="459">
        <v>1</v>
      </c>
      <c r="H10" s="456">
        <v>0</v>
      </c>
      <c r="I10" s="456">
        <v>200.75</v>
      </c>
      <c r="J10" s="456">
        <v>22</v>
      </c>
      <c r="K10" s="456">
        <v>2</v>
      </c>
      <c r="L10" s="456">
        <v>11</v>
      </c>
      <c r="M10" s="456">
        <v>2</v>
      </c>
      <c r="N10" s="456">
        <v>10</v>
      </c>
      <c r="O10" s="456">
        <v>0</v>
      </c>
      <c r="P10" s="456">
        <v>13</v>
      </c>
      <c r="Q10" s="456">
        <v>3</v>
      </c>
      <c r="R10" s="456">
        <v>7</v>
      </c>
      <c r="S10" s="456">
        <v>1</v>
      </c>
      <c r="T10" s="456">
        <v>9</v>
      </c>
      <c r="U10" s="456">
        <v>0</v>
      </c>
      <c r="V10" s="456">
        <v>14</v>
      </c>
      <c r="W10" s="456">
        <v>3</v>
      </c>
      <c r="X10" s="456">
        <v>7</v>
      </c>
      <c r="Y10" s="456">
        <v>1</v>
      </c>
      <c r="Z10" s="456">
        <v>2.75</v>
      </c>
      <c r="AA10" s="456">
        <v>0</v>
      </c>
      <c r="AB10" s="456">
        <v>0</v>
      </c>
      <c r="AC10" s="460">
        <v>1</v>
      </c>
      <c r="AD10" s="460">
        <v>6.25</v>
      </c>
      <c r="AE10" s="459">
        <v>4585</v>
      </c>
      <c r="AF10" s="460">
        <v>9406</v>
      </c>
      <c r="AG10" s="456">
        <v>0</v>
      </c>
      <c r="AH10" s="461"/>
      <c r="AI10" s="461">
        <v>0</v>
      </c>
      <c r="AJ10" s="399">
        <v>0</v>
      </c>
    </row>
    <row r="11" spans="1:38" ht="31.5" customHeight="1">
      <c r="A11" s="461" t="s">
        <v>88</v>
      </c>
      <c r="B11" s="457">
        <v>150685.9</v>
      </c>
      <c r="C11" s="458">
        <v>12</v>
      </c>
      <c r="D11" s="458">
        <v>0</v>
      </c>
      <c r="E11" s="458">
        <v>9</v>
      </c>
      <c r="F11" s="459">
        <v>0</v>
      </c>
      <c r="G11" s="459">
        <v>0</v>
      </c>
      <c r="H11" s="456">
        <v>0</v>
      </c>
      <c r="I11" s="456">
        <v>159.94999999999999</v>
      </c>
      <c r="J11" s="456">
        <v>27</v>
      </c>
      <c r="K11" s="456">
        <v>0</v>
      </c>
      <c r="L11" s="456">
        <v>10</v>
      </c>
      <c r="M11" s="456">
        <v>0</v>
      </c>
      <c r="N11" s="456">
        <v>10</v>
      </c>
      <c r="O11" s="456">
        <v>0</v>
      </c>
      <c r="P11" s="456">
        <v>10</v>
      </c>
      <c r="Q11" s="456">
        <v>0</v>
      </c>
      <c r="R11" s="456">
        <v>6</v>
      </c>
      <c r="S11" s="456">
        <v>0</v>
      </c>
      <c r="T11" s="456">
        <v>8</v>
      </c>
      <c r="U11" s="456">
        <v>0</v>
      </c>
      <c r="V11" s="456">
        <v>24</v>
      </c>
      <c r="W11" s="456">
        <v>0</v>
      </c>
      <c r="X11" s="456">
        <v>12</v>
      </c>
      <c r="Y11" s="456">
        <v>0</v>
      </c>
      <c r="Z11" s="456">
        <v>0</v>
      </c>
      <c r="AA11" s="456">
        <v>1.5</v>
      </c>
      <c r="AB11" s="456">
        <v>0</v>
      </c>
      <c r="AC11" s="460">
        <v>0</v>
      </c>
      <c r="AD11" s="460">
        <v>7.75</v>
      </c>
      <c r="AE11" s="459">
        <v>12566</v>
      </c>
      <c r="AF11" s="460">
        <v>9171.7999999999993</v>
      </c>
      <c r="AG11" s="456">
        <v>799</v>
      </c>
      <c r="AH11" s="461"/>
      <c r="AI11" s="461">
        <v>0</v>
      </c>
      <c r="AJ11" s="399">
        <v>0</v>
      </c>
    </row>
    <row r="12" spans="1:38" ht="31.5" customHeight="1">
      <c r="A12" s="461" t="s">
        <v>107</v>
      </c>
      <c r="B12" s="457">
        <v>49698</v>
      </c>
      <c r="C12" s="458">
        <v>15</v>
      </c>
      <c r="D12" s="458">
        <v>0</v>
      </c>
      <c r="E12" s="458">
        <v>13.5</v>
      </c>
      <c r="F12" s="459">
        <v>0</v>
      </c>
      <c r="G12" s="459">
        <v>1</v>
      </c>
      <c r="H12" s="456">
        <v>0</v>
      </c>
      <c r="I12" s="456">
        <v>79</v>
      </c>
      <c r="J12" s="456">
        <v>13</v>
      </c>
      <c r="K12" s="456">
        <v>3</v>
      </c>
      <c r="L12" s="456">
        <v>5</v>
      </c>
      <c r="M12" s="456">
        <v>0</v>
      </c>
      <c r="N12" s="456">
        <v>5</v>
      </c>
      <c r="O12" s="456">
        <v>1</v>
      </c>
      <c r="P12" s="456">
        <v>4</v>
      </c>
      <c r="Q12" s="456">
        <v>1</v>
      </c>
      <c r="R12" s="456">
        <v>3</v>
      </c>
      <c r="S12" s="456">
        <v>1</v>
      </c>
      <c r="T12" s="456">
        <v>3</v>
      </c>
      <c r="U12" s="456">
        <v>1</v>
      </c>
      <c r="V12" s="456">
        <v>8</v>
      </c>
      <c r="W12" s="456">
        <v>1</v>
      </c>
      <c r="X12" s="456">
        <v>5</v>
      </c>
      <c r="Y12" s="456">
        <v>2</v>
      </c>
      <c r="Z12" s="456">
        <v>0</v>
      </c>
      <c r="AA12" s="456">
        <v>0</v>
      </c>
      <c r="AB12" s="456">
        <v>0</v>
      </c>
      <c r="AC12" s="460">
        <v>1</v>
      </c>
      <c r="AD12" s="460">
        <v>0.75</v>
      </c>
      <c r="AE12" s="459">
        <v>2877.73</v>
      </c>
      <c r="AF12" s="460">
        <v>4882</v>
      </c>
      <c r="AG12" s="456">
        <v>0</v>
      </c>
      <c r="AH12" s="461"/>
      <c r="AI12" s="461">
        <v>0</v>
      </c>
      <c r="AJ12" s="399">
        <v>0</v>
      </c>
    </row>
    <row r="13" spans="1:38" ht="31.5" customHeight="1">
      <c r="A13" s="461" t="s">
        <v>93</v>
      </c>
      <c r="B13" s="457">
        <v>140165.63999999998</v>
      </c>
      <c r="C13" s="458">
        <v>35.5</v>
      </c>
      <c r="D13" s="458">
        <v>0</v>
      </c>
      <c r="E13" s="458">
        <v>31</v>
      </c>
      <c r="F13" s="459">
        <v>0</v>
      </c>
      <c r="G13" s="459">
        <v>3</v>
      </c>
      <c r="H13" s="456">
        <v>0</v>
      </c>
      <c r="I13" s="456">
        <v>263.95</v>
      </c>
      <c r="J13" s="456">
        <v>31</v>
      </c>
      <c r="K13" s="456">
        <v>0</v>
      </c>
      <c r="L13" s="456">
        <v>20</v>
      </c>
      <c r="M13" s="456">
        <v>0</v>
      </c>
      <c r="N13" s="456">
        <v>8</v>
      </c>
      <c r="O13" s="456">
        <v>0</v>
      </c>
      <c r="P13" s="456">
        <v>20</v>
      </c>
      <c r="Q13" s="456">
        <v>0</v>
      </c>
      <c r="R13" s="456">
        <v>14</v>
      </c>
      <c r="S13" s="456">
        <v>0</v>
      </c>
      <c r="T13" s="456">
        <v>8</v>
      </c>
      <c r="U13" s="456">
        <v>0</v>
      </c>
      <c r="V13" s="456">
        <v>24</v>
      </c>
      <c r="W13" s="456">
        <v>0</v>
      </c>
      <c r="X13" s="456">
        <v>5.5</v>
      </c>
      <c r="Y13" s="456">
        <v>0</v>
      </c>
      <c r="Z13" s="456">
        <v>1.25</v>
      </c>
      <c r="AA13" s="456">
        <v>0</v>
      </c>
      <c r="AB13" s="456">
        <v>0</v>
      </c>
      <c r="AC13" s="460">
        <v>0</v>
      </c>
      <c r="AD13" s="460">
        <v>5.25</v>
      </c>
      <c r="AE13" s="459">
        <v>4960.16</v>
      </c>
      <c r="AF13" s="460">
        <v>10107.799999999999</v>
      </c>
      <c r="AG13" s="456">
        <v>0</v>
      </c>
      <c r="AH13" s="461"/>
      <c r="AI13" s="461">
        <v>0</v>
      </c>
      <c r="AJ13" s="399">
        <v>0</v>
      </c>
    </row>
    <row r="14" spans="1:38" ht="31.5" customHeight="1">
      <c r="A14" s="461" t="s">
        <v>105</v>
      </c>
      <c r="B14" s="457">
        <v>94363.44</v>
      </c>
      <c r="C14" s="458">
        <v>11.5</v>
      </c>
      <c r="D14" s="458">
        <v>0</v>
      </c>
      <c r="E14" s="458">
        <v>8.5</v>
      </c>
      <c r="F14" s="459">
        <v>0</v>
      </c>
      <c r="G14" s="459">
        <v>1</v>
      </c>
      <c r="H14" s="456">
        <v>0</v>
      </c>
      <c r="I14" s="456">
        <v>180.2</v>
      </c>
      <c r="J14" s="456">
        <v>27</v>
      </c>
      <c r="K14" s="456">
        <v>1</v>
      </c>
      <c r="L14" s="456">
        <v>13</v>
      </c>
      <c r="M14" s="456">
        <v>0</v>
      </c>
      <c r="N14" s="456">
        <v>6</v>
      </c>
      <c r="O14" s="456">
        <v>1</v>
      </c>
      <c r="P14" s="456">
        <v>11</v>
      </c>
      <c r="Q14" s="456">
        <v>0</v>
      </c>
      <c r="R14" s="456">
        <v>7</v>
      </c>
      <c r="S14" s="456">
        <v>0</v>
      </c>
      <c r="T14" s="456">
        <v>7</v>
      </c>
      <c r="U14" s="456">
        <v>0</v>
      </c>
      <c r="V14" s="456">
        <v>16</v>
      </c>
      <c r="W14" s="456">
        <v>0</v>
      </c>
      <c r="X14" s="456">
        <v>14.5</v>
      </c>
      <c r="Y14" s="456">
        <v>0</v>
      </c>
      <c r="Z14" s="456">
        <v>2.5</v>
      </c>
      <c r="AA14" s="456">
        <v>0</v>
      </c>
      <c r="AB14" s="456">
        <v>0</v>
      </c>
      <c r="AC14" s="460">
        <v>0</v>
      </c>
      <c r="AD14" s="460">
        <v>0</v>
      </c>
      <c r="AE14" s="459">
        <v>5365.73</v>
      </c>
      <c r="AF14" s="460">
        <v>9843.7999999999993</v>
      </c>
      <c r="AG14" s="456">
        <v>300</v>
      </c>
      <c r="AH14" s="461"/>
      <c r="AI14" s="461">
        <v>0</v>
      </c>
      <c r="AJ14" s="399">
        <v>0</v>
      </c>
    </row>
    <row r="15" spans="1:38" ht="31.5" customHeight="1">
      <c r="A15" s="461" t="s">
        <v>102</v>
      </c>
      <c r="B15" s="457">
        <v>84538.28</v>
      </c>
      <c r="C15" s="458">
        <v>14.5</v>
      </c>
      <c r="D15" s="458">
        <v>0</v>
      </c>
      <c r="E15" s="458">
        <v>13</v>
      </c>
      <c r="F15" s="459">
        <v>0</v>
      </c>
      <c r="G15" s="459">
        <v>1</v>
      </c>
      <c r="H15" s="456">
        <v>0</v>
      </c>
      <c r="I15" s="456">
        <v>131.9</v>
      </c>
      <c r="J15" s="456">
        <v>20</v>
      </c>
      <c r="K15" s="456">
        <v>0</v>
      </c>
      <c r="L15" s="456">
        <v>7</v>
      </c>
      <c r="M15" s="456">
        <v>0</v>
      </c>
      <c r="N15" s="456">
        <v>5</v>
      </c>
      <c r="O15" s="456">
        <v>0</v>
      </c>
      <c r="P15" s="456">
        <v>10</v>
      </c>
      <c r="Q15" s="456">
        <v>1</v>
      </c>
      <c r="R15" s="456">
        <v>6</v>
      </c>
      <c r="S15" s="456">
        <v>1</v>
      </c>
      <c r="T15" s="456">
        <v>4</v>
      </c>
      <c r="U15" s="456">
        <v>0</v>
      </c>
      <c r="V15" s="456">
        <v>15</v>
      </c>
      <c r="W15" s="456">
        <v>2</v>
      </c>
      <c r="X15" s="456">
        <v>7</v>
      </c>
      <c r="Y15" s="456">
        <v>0</v>
      </c>
      <c r="Z15" s="456">
        <v>0</v>
      </c>
      <c r="AA15" s="456">
        <v>0</v>
      </c>
      <c r="AB15" s="456">
        <v>0</v>
      </c>
      <c r="AC15" s="460">
        <v>1</v>
      </c>
      <c r="AD15" s="460">
        <v>0.25</v>
      </c>
      <c r="AE15" s="459">
        <v>9542.16</v>
      </c>
      <c r="AF15" s="460">
        <v>5660.73</v>
      </c>
      <c r="AG15" s="456">
        <v>0</v>
      </c>
      <c r="AH15" s="461"/>
      <c r="AI15" s="461">
        <v>0</v>
      </c>
      <c r="AJ15" s="399">
        <v>0</v>
      </c>
    </row>
    <row r="16" spans="1:38" ht="31.5" customHeight="1">
      <c r="A16" s="461" t="s">
        <v>111</v>
      </c>
      <c r="B16" s="457">
        <v>65486.560000000005</v>
      </c>
      <c r="C16" s="458">
        <v>12</v>
      </c>
      <c r="D16" s="458">
        <v>0</v>
      </c>
      <c r="E16" s="458">
        <v>7.5</v>
      </c>
      <c r="F16" s="459">
        <v>0</v>
      </c>
      <c r="G16" s="459">
        <v>1</v>
      </c>
      <c r="H16" s="456">
        <v>0</v>
      </c>
      <c r="I16" s="456">
        <v>184.75</v>
      </c>
      <c r="J16" s="456">
        <v>18</v>
      </c>
      <c r="K16" s="456">
        <v>0</v>
      </c>
      <c r="L16" s="456">
        <v>8</v>
      </c>
      <c r="M16" s="456">
        <v>0</v>
      </c>
      <c r="N16" s="456">
        <v>7</v>
      </c>
      <c r="O16" s="456">
        <v>0</v>
      </c>
      <c r="P16" s="456">
        <v>9</v>
      </c>
      <c r="Q16" s="456">
        <v>1</v>
      </c>
      <c r="R16" s="456">
        <v>7</v>
      </c>
      <c r="S16" s="456">
        <v>0</v>
      </c>
      <c r="T16" s="456">
        <v>2</v>
      </c>
      <c r="U16" s="456">
        <v>0</v>
      </c>
      <c r="V16" s="456">
        <v>13</v>
      </c>
      <c r="W16" s="456">
        <v>1</v>
      </c>
      <c r="X16" s="456">
        <v>4</v>
      </c>
      <c r="Y16" s="456">
        <v>0</v>
      </c>
      <c r="Z16" s="456">
        <v>0</v>
      </c>
      <c r="AA16" s="456">
        <v>0</v>
      </c>
      <c r="AB16" s="456">
        <v>0</v>
      </c>
      <c r="AC16" s="460">
        <v>0</v>
      </c>
      <c r="AD16" s="460">
        <v>0.25</v>
      </c>
      <c r="AE16" s="459">
        <v>2936</v>
      </c>
      <c r="AF16" s="460">
        <v>3569</v>
      </c>
      <c r="AG16" s="456">
        <v>100</v>
      </c>
      <c r="AH16" s="461"/>
      <c r="AI16" s="461">
        <v>0</v>
      </c>
      <c r="AJ16" s="399">
        <v>0</v>
      </c>
    </row>
    <row r="17" spans="1:38" ht="31.5" customHeight="1">
      <c r="A17" s="461" t="s">
        <v>90</v>
      </c>
      <c r="B17" s="457">
        <v>150781.58000000002</v>
      </c>
      <c r="C17" s="458">
        <v>22</v>
      </c>
      <c r="D17" s="458">
        <v>0</v>
      </c>
      <c r="E17" s="458">
        <v>22</v>
      </c>
      <c r="F17" s="459">
        <v>0</v>
      </c>
      <c r="G17" s="459">
        <v>2</v>
      </c>
      <c r="H17" s="456">
        <v>0</v>
      </c>
      <c r="I17" s="456">
        <v>200.5</v>
      </c>
      <c r="J17" s="456">
        <v>30</v>
      </c>
      <c r="K17" s="456">
        <v>5</v>
      </c>
      <c r="L17" s="456">
        <v>15</v>
      </c>
      <c r="M17" s="456">
        <v>2</v>
      </c>
      <c r="N17" s="456">
        <v>8</v>
      </c>
      <c r="O17" s="456">
        <v>2</v>
      </c>
      <c r="P17" s="456">
        <v>13</v>
      </c>
      <c r="Q17" s="456">
        <v>2</v>
      </c>
      <c r="R17" s="456">
        <v>8</v>
      </c>
      <c r="S17" s="456">
        <v>0</v>
      </c>
      <c r="T17" s="456">
        <v>5</v>
      </c>
      <c r="U17" s="456">
        <v>1</v>
      </c>
      <c r="V17" s="456">
        <v>17</v>
      </c>
      <c r="W17" s="456">
        <v>2</v>
      </c>
      <c r="X17" s="456">
        <v>10</v>
      </c>
      <c r="Y17" s="456">
        <v>0</v>
      </c>
      <c r="Z17" s="456">
        <v>5.5</v>
      </c>
      <c r="AA17" s="456">
        <v>0</v>
      </c>
      <c r="AB17" s="456">
        <v>0</v>
      </c>
      <c r="AC17" s="460">
        <v>1</v>
      </c>
      <c r="AD17" s="460">
        <v>4</v>
      </c>
      <c r="AE17" s="459">
        <v>5418</v>
      </c>
      <c r="AF17" s="460">
        <v>11874.859999999999</v>
      </c>
      <c r="AG17" s="456">
        <v>3146</v>
      </c>
      <c r="AH17" s="461"/>
      <c r="AI17" s="461">
        <v>0</v>
      </c>
      <c r="AJ17" s="399">
        <v>0</v>
      </c>
    </row>
    <row r="18" spans="1:38" ht="31.5" customHeight="1">
      <c r="A18" s="461" t="s">
        <v>109</v>
      </c>
      <c r="B18" s="457">
        <v>100493.2</v>
      </c>
      <c r="C18" s="458">
        <v>19</v>
      </c>
      <c r="D18" s="458">
        <v>6.5</v>
      </c>
      <c r="E18" s="458">
        <v>17.5</v>
      </c>
      <c r="F18" s="459">
        <v>6.5</v>
      </c>
      <c r="G18" s="459">
        <v>2</v>
      </c>
      <c r="H18" s="456">
        <v>1</v>
      </c>
      <c r="I18" s="456">
        <v>172.75</v>
      </c>
      <c r="J18" s="456">
        <v>20</v>
      </c>
      <c r="K18" s="456">
        <v>2</v>
      </c>
      <c r="L18" s="456">
        <v>11</v>
      </c>
      <c r="M18" s="456">
        <v>0</v>
      </c>
      <c r="N18" s="456">
        <v>9</v>
      </c>
      <c r="O18" s="456">
        <v>0</v>
      </c>
      <c r="P18" s="456">
        <v>15</v>
      </c>
      <c r="Q18" s="456">
        <v>0</v>
      </c>
      <c r="R18" s="456">
        <v>7</v>
      </c>
      <c r="S18" s="456">
        <v>0</v>
      </c>
      <c r="T18" s="456">
        <v>3</v>
      </c>
      <c r="U18" s="456">
        <v>1</v>
      </c>
      <c r="V18" s="456">
        <v>18</v>
      </c>
      <c r="W18" s="456">
        <v>2</v>
      </c>
      <c r="X18" s="456">
        <v>5</v>
      </c>
      <c r="Y18" s="456">
        <v>1</v>
      </c>
      <c r="Z18" s="456">
        <v>1.25</v>
      </c>
      <c r="AA18" s="456">
        <v>0.75</v>
      </c>
      <c r="AB18" s="456">
        <v>0</v>
      </c>
      <c r="AC18" s="460">
        <v>0</v>
      </c>
      <c r="AD18" s="460">
        <v>2.75</v>
      </c>
      <c r="AE18" s="459">
        <v>10080</v>
      </c>
      <c r="AF18" s="460">
        <v>6033.8799999999992</v>
      </c>
      <c r="AG18" s="456">
        <v>0</v>
      </c>
      <c r="AH18" s="461"/>
      <c r="AI18" s="461">
        <v>0</v>
      </c>
      <c r="AJ18" s="399">
        <v>0</v>
      </c>
    </row>
    <row r="19" spans="1:38" ht="31.5" customHeight="1">
      <c r="A19" s="461" t="s">
        <v>103</v>
      </c>
      <c r="B19" s="457">
        <v>72988.600000000006</v>
      </c>
      <c r="C19" s="458">
        <v>12</v>
      </c>
      <c r="D19" s="458">
        <v>0</v>
      </c>
      <c r="E19" s="458">
        <v>9</v>
      </c>
      <c r="F19" s="459">
        <v>0</v>
      </c>
      <c r="G19" s="459">
        <v>1</v>
      </c>
      <c r="H19" s="456">
        <v>0</v>
      </c>
      <c r="I19" s="456">
        <v>99.2</v>
      </c>
      <c r="J19" s="456">
        <v>15</v>
      </c>
      <c r="K19" s="456">
        <v>0</v>
      </c>
      <c r="L19" s="456">
        <v>10</v>
      </c>
      <c r="M19" s="456">
        <v>0</v>
      </c>
      <c r="N19" s="456">
        <v>5</v>
      </c>
      <c r="O19" s="456">
        <v>0</v>
      </c>
      <c r="P19" s="456">
        <v>6</v>
      </c>
      <c r="Q19" s="456">
        <v>0</v>
      </c>
      <c r="R19" s="456">
        <v>2</v>
      </c>
      <c r="S19" s="456">
        <v>0</v>
      </c>
      <c r="T19" s="456">
        <v>7</v>
      </c>
      <c r="U19" s="456">
        <v>0</v>
      </c>
      <c r="V19" s="456">
        <v>14</v>
      </c>
      <c r="W19" s="456">
        <v>0</v>
      </c>
      <c r="X19" s="456">
        <v>2.5</v>
      </c>
      <c r="Y19" s="456">
        <v>0</v>
      </c>
      <c r="Z19" s="456">
        <v>2.5</v>
      </c>
      <c r="AA19" s="456">
        <v>0</v>
      </c>
      <c r="AB19" s="456">
        <v>0</v>
      </c>
      <c r="AC19" s="460">
        <v>0</v>
      </c>
      <c r="AD19" s="460">
        <v>3.5</v>
      </c>
      <c r="AE19" s="459">
        <v>3878</v>
      </c>
      <c r="AF19" s="460">
        <v>3688.8</v>
      </c>
      <c r="AG19" s="456">
        <v>1268</v>
      </c>
      <c r="AH19" s="461"/>
      <c r="AI19" s="461">
        <v>0</v>
      </c>
      <c r="AJ19" s="399">
        <v>0</v>
      </c>
    </row>
    <row r="20" spans="1:38" ht="31.5" customHeight="1">
      <c r="A20" s="461" t="s">
        <v>112</v>
      </c>
      <c r="B20" s="457">
        <v>52070.2</v>
      </c>
      <c r="C20" s="458">
        <v>5.5</v>
      </c>
      <c r="D20" s="458">
        <v>2.5</v>
      </c>
      <c r="E20" s="458">
        <v>5.5</v>
      </c>
      <c r="F20" s="459">
        <v>0</v>
      </c>
      <c r="G20" s="459">
        <v>0</v>
      </c>
      <c r="H20" s="456">
        <v>0</v>
      </c>
      <c r="I20" s="456">
        <v>133</v>
      </c>
      <c r="J20" s="456">
        <v>15</v>
      </c>
      <c r="K20" s="456">
        <v>0</v>
      </c>
      <c r="L20" s="456">
        <v>11</v>
      </c>
      <c r="M20" s="456">
        <v>0</v>
      </c>
      <c r="N20" s="456">
        <v>3</v>
      </c>
      <c r="O20" s="456">
        <v>0</v>
      </c>
      <c r="P20" s="456">
        <v>7</v>
      </c>
      <c r="Q20" s="456">
        <v>0</v>
      </c>
      <c r="R20" s="456">
        <v>5</v>
      </c>
      <c r="S20" s="456">
        <v>0</v>
      </c>
      <c r="T20" s="456">
        <v>6</v>
      </c>
      <c r="U20" s="456">
        <v>0</v>
      </c>
      <c r="V20" s="456">
        <v>11</v>
      </c>
      <c r="W20" s="456">
        <v>0</v>
      </c>
      <c r="X20" s="456">
        <v>5</v>
      </c>
      <c r="Y20" s="456">
        <v>0</v>
      </c>
      <c r="Z20" s="456">
        <v>0</v>
      </c>
      <c r="AA20" s="456">
        <v>0</v>
      </c>
      <c r="AB20" s="456">
        <v>0</v>
      </c>
      <c r="AC20" s="460">
        <v>0</v>
      </c>
      <c r="AD20" s="460">
        <v>0.75</v>
      </c>
      <c r="AE20" s="459">
        <v>6993.73</v>
      </c>
      <c r="AF20" s="460">
        <v>4744</v>
      </c>
      <c r="AG20" s="456">
        <v>100</v>
      </c>
      <c r="AH20" s="461"/>
      <c r="AI20" s="461">
        <v>0</v>
      </c>
      <c r="AJ20" s="399">
        <v>0</v>
      </c>
    </row>
    <row r="21" spans="1:38" ht="31.5" customHeight="1">
      <c r="A21" s="463"/>
      <c r="B21" s="464"/>
      <c r="C21" s="462"/>
      <c r="D21" s="462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4"/>
      <c r="AD21" s="464"/>
      <c r="AE21" s="462"/>
      <c r="AF21" s="464"/>
      <c r="AG21" s="462"/>
      <c r="AH21" s="462"/>
      <c r="AI21" s="462"/>
      <c r="AJ21" s="462"/>
      <c r="AK21" s="462"/>
      <c r="AL21" s="462"/>
    </row>
    <row r="22" spans="1:38" ht="31.5" customHeight="1">
      <c r="A22" s="463"/>
      <c r="B22" s="465"/>
      <c r="C22" s="450"/>
      <c r="D22" s="450"/>
      <c r="E22" s="450"/>
      <c r="F22" s="450"/>
      <c r="G22" s="450"/>
      <c r="H22" s="450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63"/>
      <c r="AA22" s="463"/>
      <c r="AB22" s="463"/>
      <c r="AC22" s="466"/>
      <c r="AD22" s="466"/>
      <c r="AE22" s="463"/>
      <c r="AF22" s="466"/>
      <c r="AG22" s="463"/>
      <c r="AH22" s="463"/>
      <c r="AI22" s="463"/>
    </row>
    <row r="23" spans="1:38" ht="31.5" customHeight="1">
      <c r="A23" s="463"/>
      <c r="B23" s="466"/>
      <c r="C23" s="463"/>
      <c r="D23" s="463"/>
      <c r="E23" s="463"/>
      <c r="F23" s="463"/>
      <c r="G23" s="463"/>
      <c r="H23" s="463"/>
      <c r="I23" s="463"/>
      <c r="J23" s="463"/>
      <c r="K23" s="463"/>
      <c r="L23" s="463"/>
      <c r="M23" s="463"/>
      <c r="N23" s="463"/>
      <c r="O23" s="463"/>
      <c r="P23" s="463"/>
      <c r="Q23" s="463"/>
      <c r="R23" s="463"/>
      <c r="S23" s="463"/>
      <c r="T23" s="463"/>
      <c r="U23" s="463"/>
      <c r="V23" s="463"/>
      <c r="W23" s="463"/>
      <c r="X23" s="463"/>
      <c r="Y23" s="463"/>
      <c r="Z23" s="463"/>
      <c r="AA23" s="463"/>
      <c r="AB23" s="463"/>
      <c r="AC23" s="466"/>
      <c r="AD23" s="466"/>
      <c r="AE23" s="463"/>
      <c r="AF23" s="466"/>
      <c r="AG23" s="463"/>
      <c r="AH23" s="463"/>
      <c r="AI23" s="463"/>
    </row>
    <row r="24" spans="1:38" ht="31.5" customHeight="1">
      <c r="A24" s="463"/>
      <c r="B24" s="466"/>
      <c r="C24" s="463"/>
      <c r="D24" s="463"/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463"/>
      <c r="Y24" s="463"/>
      <c r="Z24" s="463"/>
      <c r="AA24" s="463"/>
      <c r="AB24" s="463"/>
      <c r="AC24" s="466"/>
      <c r="AD24" s="466"/>
      <c r="AE24" s="463"/>
      <c r="AF24" s="466"/>
      <c r="AG24" s="463"/>
      <c r="AH24" s="463"/>
      <c r="AI24" s="463"/>
    </row>
    <row r="25" spans="1:38" ht="31.5" customHeight="1">
      <c r="A25" s="463"/>
      <c r="B25" s="466"/>
      <c r="C25" s="463"/>
      <c r="D25" s="463"/>
      <c r="E25" s="463"/>
      <c r="F25" s="463"/>
      <c r="G25" s="463"/>
      <c r="H25" s="463"/>
      <c r="I25" s="463"/>
      <c r="J25" s="463"/>
      <c r="K25" s="463"/>
      <c r="L25" s="463"/>
      <c r="M25" s="463"/>
      <c r="N25" s="463"/>
      <c r="O25" s="463"/>
      <c r="P25" s="463"/>
      <c r="Q25" s="463"/>
      <c r="R25" s="463"/>
      <c r="S25" s="463"/>
      <c r="T25" s="463"/>
      <c r="U25" s="463"/>
      <c r="V25" s="463"/>
      <c r="W25" s="463"/>
      <c r="X25" s="463"/>
      <c r="Y25" s="463"/>
      <c r="Z25" s="463"/>
      <c r="AA25" s="463"/>
      <c r="AB25" s="463"/>
      <c r="AC25" s="466"/>
      <c r="AD25" s="466"/>
      <c r="AE25" s="463"/>
      <c r="AF25" s="466"/>
      <c r="AG25" s="463"/>
      <c r="AH25" s="463"/>
      <c r="AI25" s="463"/>
    </row>
    <row r="26" spans="1:38" ht="31.5" customHeight="1">
      <c r="A26" s="463"/>
      <c r="B26" s="466"/>
      <c r="C26" s="463"/>
      <c r="D26" s="463"/>
      <c r="E26" s="463"/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463"/>
      <c r="Y26" s="463"/>
      <c r="Z26" s="463"/>
      <c r="AA26" s="463"/>
      <c r="AB26" s="463"/>
      <c r="AC26" s="466"/>
      <c r="AD26" s="466"/>
      <c r="AE26" s="463"/>
      <c r="AF26" s="466"/>
      <c r="AG26" s="463"/>
      <c r="AH26" s="463"/>
      <c r="AI26" s="463"/>
    </row>
    <row r="27" spans="1:38" ht="31.5" customHeight="1">
      <c r="A27" s="463"/>
      <c r="B27" s="466"/>
      <c r="C27" s="463"/>
      <c r="D27" s="463"/>
      <c r="E27" s="463"/>
      <c r="F27" s="463"/>
      <c r="G27" s="463"/>
      <c r="H27" s="463"/>
      <c r="I27" s="463"/>
      <c r="J27" s="463"/>
      <c r="K27" s="463"/>
      <c r="L27" s="463"/>
      <c r="M27" s="463"/>
      <c r="N27" s="463"/>
      <c r="O27" s="463"/>
      <c r="P27" s="463"/>
      <c r="Q27" s="463"/>
      <c r="R27" s="463"/>
      <c r="S27" s="463"/>
      <c r="T27" s="463"/>
      <c r="U27" s="463"/>
      <c r="V27" s="463"/>
      <c r="W27" s="463"/>
      <c r="X27" s="463"/>
      <c r="Y27" s="463"/>
      <c r="Z27" s="463"/>
      <c r="AA27" s="463"/>
      <c r="AB27" s="463"/>
      <c r="AC27" s="466"/>
      <c r="AD27" s="466"/>
      <c r="AE27" s="463"/>
      <c r="AF27" s="466"/>
      <c r="AG27" s="463"/>
      <c r="AH27" s="463"/>
      <c r="AI27" s="463"/>
    </row>
    <row r="28" spans="1:38" ht="31.5" customHeight="1">
      <c r="A28" s="463"/>
      <c r="B28" s="466"/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463"/>
      <c r="N28" s="463"/>
      <c r="O28" s="463"/>
      <c r="P28" s="463"/>
      <c r="Q28" s="463"/>
      <c r="R28" s="463"/>
      <c r="S28" s="463"/>
      <c r="T28" s="463"/>
      <c r="U28" s="463"/>
      <c r="V28" s="463"/>
      <c r="W28" s="463"/>
      <c r="X28" s="463"/>
      <c r="Y28" s="463"/>
      <c r="Z28" s="463"/>
      <c r="AA28" s="463"/>
      <c r="AB28" s="463"/>
      <c r="AC28" s="466"/>
      <c r="AD28" s="466"/>
      <c r="AE28" s="463"/>
      <c r="AF28" s="466"/>
      <c r="AG28" s="463"/>
      <c r="AH28" s="463"/>
      <c r="AI28" s="463"/>
    </row>
    <row r="29" spans="1:38" ht="31.5" customHeight="1">
      <c r="A29" s="463"/>
      <c r="B29" s="466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  <c r="P29" s="463"/>
      <c r="Q29" s="463"/>
      <c r="R29" s="463"/>
      <c r="S29" s="463"/>
      <c r="T29" s="463"/>
      <c r="U29" s="463"/>
      <c r="V29" s="463"/>
      <c r="W29" s="463"/>
      <c r="X29" s="463"/>
      <c r="Y29" s="463"/>
      <c r="Z29" s="463"/>
      <c r="AA29" s="463"/>
      <c r="AB29" s="463"/>
      <c r="AC29" s="466"/>
      <c r="AD29" s="466"/>
      <c r="AE29" s="463"/>
      <c r="AF29" s="466"/>
      <c r="AG29" s="463"/>
      <c r="AH29" s="463"/>
      <c r="AI29" s="463"/>
    </row>
    <row r="30" spans="1:38" ht="17.25" customHeight="1">
      <c r="A30" s="463"/>
      <c r="B30" s="466"/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7"/>
      <c r="S30" s="468"/>
      <c r="T30" s="468"/>
      <c r="U30" s="469"/>
      <c r="V30" s="468"/>
      <c r="W30" s="470"/>
      <c r="X30" s="471"/>
      <c r="Y30" s="463"/>
      <c r="Z30" s="463"/>
      <c r="AA30" s="463"/>
      <c r="AB30" s="463"/>
      <c r="AC30" s="466"/>
      <c r="AD30" s="466"/>
      <c r="AE30" s="463"/>
      <c r="AF30" s="466"/>
      <c r="AG30" s="463"/>
      <c r="AH30" s="463"/>
      <c r="AI30" s="463"/>
    </row>
    <row r="31" spans="1:38" ht="17.25" customHeight="1">
      <c r="A31" s="463"/>
      <c r="B31" s="466"/>
      <c r="C31" s="463"/>
      <c r="D31" s="463"/>
      <c r="E31" s="463"/>
      <c r="F31" s="463"/>
      <c r="G31" s="463"/>
      <c r="H31" s="463"/>
      <c r="I31" s="463"/>
      <c r="J31" s="463"/>
      <c r="K31" s="463"/>
      <c r="L31" s="463"/>
      <c r="M31" s="463"/>
      <c r="N31" s="463"/>
      <c r="O31" s="463"/>
      <c r="P31" s="463"/>
      <c r="Q31" s="463"/>
      <c r="R31" s="467"/>
      <c r="S31" s="468"/>
      <c r="T31" s="468"/>
      <c r="U31" s="469"/>
      <c r="V31" s="468"/>
      <c r="W31" s="470"/>
      <c r="X31" s="471"/>
      <c r="Y31" s="463"/>
      <c r="Z31" s="463"/>
      <c r="AA31" s="463"/>
      <c r="AB31" s="463"/>
      <c r="AC31" s="466"/>
      <c r="AD31" s="466"/>
      <c r="AE31" s="463"/>
      <c r="AF31" s="466"/>
      <c r="AG31" s="463"/>
      <c r="AH31" s="463"/>
      <c r="AI31" s="463"/>
    </row>
    <row r="32" spans="1:38" ht="17.25" customHeight="1">
      <c r="A32" s="463"/>
      <c r="B32" s="466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7"/>
      <c r="S32" s="468"/>
      <c r="T32" s="468"/>
      <c r="U32" s="469"/>
      <c r="V32" s="468"/>
      <c r="W32" s="470"/>
      <c r="X32" s="471"/>
      <c r="Y32" s="463"/>
      <c r="Z32" s="463"/>
      <c r="AA32" s="463"/>
      <c r="AB32" s="463"/>
      <c r="AC32" s="466"/>
      <c r="AD32" s="466"/>
      <c r="AE32" s="463"/>
      <c r="AF32" s="466"/>
      <c r="AG32" s="463"/>
      <c r="AH32" s="463"/>
      <c r="AI32" s="463"/>
    </row>
    <row r="33" spans="1:35" ht="17.25" customHeight="1">
      <c r="A33" s="463"/>
      <c r="B33" s="466"/>
      <c r="C33" s="463"/>
      <c r="D33" s="463"/>
      <c r="E33" s="463"/>
      <c r="F33" s="463"/>
      <c r="G33" s="463"/>
      <c r="H33" s="463"/>
      <c r="I33" s="463"/>
      <c r="J33" s="463"/>
      <c r="K33" s="463"/>
      <c r="L33" s="463"/>
      <c r="M33" s="463"/>
      <c r="N33" s="463"/>
      <c r="O33" s="463"/>
      <c r="P33" s="463"/>
      <c r="Q33" s="463"/>
      <c r="R33" s="467"/>
      <c r="S33" s="468"/>
      <c r="T33" s="468"/>
      <c r="U33" s="469"/>
      <c r="V33" s="468"/>
      <c r="W33" s="470"/>
      <c r="X33" s="471"/>
      <c r="Y33" s="463"/>
      <c r="Z33" s="463"/>
      <c r="AA33" s="463"/>
      <c r="AB33" s="463"/>
      <c r="AC33" s="466"/>
      <c r="AD33" s="466"/>
      <c r="AE33" s="463"/>
      <c r="AF33" s="466"/>
      <c r="AG33" s="463"/>
      <c r="AH33" s="463"/>
      <c r="AI33" s="463"/>
    </row>
    <row r="34" spans="1:35" ht="17.25" customHeight="1">
      <c r="A34" s="463"/>
      <c r="B34" s="466"/>
      <c r="C34" s="463"/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7"/>
      <c r="S34" s="468"/>
      <c r="T34" s="468"/>
      <c r="U34" s="469"/>
      <c r="V34" s="468"/>
      <c r="W34" s="470"/>
      <c r="X34" s="471"/>
      <c r="Y34" s="463"/>
      <c r="Z34" s="463"/>
      <c r="AA34" s="463"/>
      <c r="AB34" s="463"/>
      <c r="AC34" s="466"/>
      <c r="AD34" s="466"/>
      <c r="AE34" s="463"/>
      <c r="AF34" s="466"/>
      <c r="AG34" s="463"/>
      <c r="AH34" s="463"/>
      <c r="AI34" s="463"/>
    </row>
    <row r="35" spans="1:35" ht="17.25" customHeight="1">
      <c r="A35" s="463"/>
      <c r="B35" s="466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  <c r="P35" s="463"/>
      <c r="Q35" s="463"/>
      <c r="R35" s="467"/>
      <c r="S35" s="468"/>
      <c r="T35" s="468"/>
      <c r="U35" s="469"/>
      <c r="V35" s="468"/>
      <c r="W35" s="470"/>
      <c r="X35" s="471"/>
      <c r="Y35" s="463"/>
      <c r="Z35" s="463"/>
      <c r="AA35" s="463"/>
      <c r="AB35" s="463"/>
      <c r="AC35" s="466"/>
      <c r="AD35" s="466"/>
      <c r="AE35" s="463"/>
      <c r="AF35" s="466"/>
      <c r="AG35" s="463"/>
      <c r="AH35" s="463"/>
      <c r="AI35" s="463"/>
    </row>
    <row r="36" spans="1:35" ht="17.25" customHeight="1">
      <c r="A36" s="463"/>
      <c r="B36" s="466"/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7"/>
      <c r="S36" s="472"/>
      <c r="T36" s="472"/>
      <c r="U36" s="469"/>
      <c r="V36" s="472"/>
      <c r="W36" s="470"/>
      <c r="X36" s="471"/>
      <c r="Y36" s="463"/>
      <c r="Z36" s="463"/>
      <c r="AA36" s="463"/>
      <c r="AB36" s="463"/>
      <c r="AC36" s="466"/>
      <c r="AD36" s="466"/>
      <c r="AE36" s="463"/>
      <c r="AF36" s="466"/>
      <c r="AG36" s="463"/>
      <c r="AH36" s="463"/>
      <c r="AI36" s="463"/>
    </row>
  </sheetData>
  <autoFilter ref="A1:AL20" xr:uid="{00000000-0009-0000-0000-00000E000000}"/>
  <phoneticPr fontId="14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🎯倚盟今日排行</vt:lpstr>
      <vt:lpstr>【你的全部獎金】</vt:lpstr>
      <vt:lpstr>1. 基礎獎金 + 獎金排名</vt:lpstr>
      <vt:lpstr>2. 毛利分潤獎金</vt:lpstr>
      <vt:lpstr>🏆 追星獎</vt:lpstr>
      <vt:lpstr>3. 全壘打得分表</vt:lpstr>
      <vt:lpstr>5. 安打紀錄表</vt:lpstr>
      <vt:lpstr>■我的基礎獎金</vt:lpstr>
      <vt:lpstr>■我的KPI獎金</vt:lpstr>
      <vt:lpstr>■我的AQ獎金</vt:lpstr>
      <vt:lpstr>■我的RT獎金</vt:lpstr>
      <vt:lpstr>■我的大類_重點目標</vt:lpstr>
      <vt:lpstr>📊總部_個人業績累計</vt:lpstr>
      <vt:lpstr>📥總部_每日業績輸入</vt:lpstr>
      <vt:lpstr>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許曉雯</cp:lastModifiedBy>
  <cp:revision>0</cp:revision>
  <cp:lastPrinted>2025-12-29T06:30:13Z</cp:lastPrinted>
  <dcterms:created xsi:type="dcterms:W3CDTF">2025-12-08T05:57:34Z</dcterms:created>
  <dcterms:modified xsi:type="dcterms:W3CDTF">2026-09-25T17:19:02Z</dcterms:modified>
  <dc:language>en-US</dc:language>
</cp:coreProperties>
</file>